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park Group\Desktop\Final Core Files\Noise Alarm v4.5 - Final\_Deliverable\BOM\"/>
    </mc:Choice>
  </mc:AlternateContent>
  <bookViews>
    <workbookView xWindow="0" yWindow="0" windowWidth="20490" windowHeight="89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J55" i="1" l="1"/>
  <c r="J54" i="1"/>
  <c r="J47" i="1"/>
  <c r="J48" i="1"/>
  <c r="J49" i="1"/>
  <c r="J50" i="1"/>
  <c r="J51" i="1"/>
  <c r="J52" i="1"/>
  <c r="J46" i="1"/>
  <c r="J45" i="1"/>
  <c r="J44" i="1"/>
  <c r="J43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5" i="1"/>
  <c r="J24" i="1"/>
  <c r="J23" i="1"/>
  <c r="J22" i="1"/>
  <c r="J21" i="1"/>
  <c r="J20" i="1"/>
  <c r="J19" i="1"/>
  <c r="J18" i="1"/>
  <c r="J17" i="1"/>
  <c r="J15" i="1"/>
  <c r="J16" i="1"/>
  <c r="J14" i="1"/>
  <c r="J13" i="1"/>
  <c r="J12" i="1"/>
  <c r="J5" i="1"/>
  <c r="J6" i="1"/>
  <c r="J7" i="1"/>
  <c r="J8" i="1"/>
  <c r="J9" i="1"/>
  <c r="J10" i="1"/>
  <c r="J11" i="1"/>
  <c r="J4" i="1"/>
  <c r="J3" i="1"/>
  <c r="M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J57" i="1" l="1"/>
  <c r="M57" i="1" s="1"/>
  <c r="J56" i="1"/>
  <c r="M56" i="1" s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58" i="1" l="1"/>
</calcChain>
</file>

<file path=xl/sharedStrings.xml><?xml version="1.0" encoding="utf-8"?>
<sst xmlns="http://schemas.openxmlformats.org/spreadsheetml/2006/main" count="418" uniqueCount="273">
  <si>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</si>
  <si>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</si>
  <si>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</si>
  <si>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</si>
  <si>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</si>
  <si>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</si>
  <si>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</si>
  <si>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</si>
  <si>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Quantity</t>
  </si>
  <si>
    <t>Total Quantity</t>
  </si>
  <si>
    <t>Link</t>
  </si>
  <si>
    <t>Capacitor</t>
  </si>
  <si>
    <t>CAP CER 0.1UF 50V Y5V 0805</t>
  </si>
  <si>
    <t>C1, C2, C3, C4, C7, C10, C12, C17, C19, C22, C24, C25, C76</t>
  </si>
  <si>
    <t>Cap0805</t>
  </si>
  <si>
    <t>CL21F104ZBCNNNC</t>
  </si>
  <si>
    <t>Samsung</t>
  </si>
  <si>
    <t>0.1uF</t>
  </si>
  <si>
    <t>Digikey</t>
  </si>
  <si>
    <t>CAP CER 1000PF 760VAC Y5U RADIAL</t>
  </si>
  <si>
    <t>C5</t>
  </si>
  <si>
    <t>RAD-0.4</t>
  </si>
  <si>
    <t>440LD10-R</t>
  </si>
  <si>
    <t>Vishay</t>
  </si>
  <si>
    <t>1000pF</t>
  </si>
  <si>
    <t>CAP CER 1UF 16V X7R 1206</t>
  </si>
  <si>
    <t>C8, C9</t>
  </si>
  <si>
    <t>Cap1206</t>
  </si>
  <si>
    <t>1206YC105K4T2A</t>
  </si>
  <si>
    <t>Kyocera AVX</t>
  </si>
  <si>
    <t>CAP CER 1UF 16V X7R 0805</t>
  </si>
  <si>
    <t>C11, C13, C16, C18, C78</t>
  </si>
  <si>
    <t>CL21B105KOFNNNG</t>
  </si>
  <si>
    <t>1uF</t>
  </si>
  <si>
    <t>CAP CER 4.7UF 16V 10% X5R 0805</t>
  </si>
  <si>
    <t>C26</t>
  </si>
  <si>
    <t>C0805C475K4PACTU</t>
  </si>
  <si>
    <t>KEMET</t>
  </si>
  <si>
    <t>4.7UF</t>
  </si>
  <si>
    <t>CAP CER 1000PF 200V X7R 0603</t>
  </si>
  <si>
    <t>CF1</t>
  </si>
  <si>
    <t>Cap0603</t>
  </si>
  <si>
    <t>0603B102K201CT</t>
  </si>
  <si>
    <t>Walsin Technologies</t>
  </si>
  <si>
    <t>1nF</t>
  </si>
  <si>
    <t>CAP CER 0.33UF 50V X7R 0603</t>
  </si>
  <si>
    <t>CF3</t>
  </si>
  <si>
    <t>CGA3E3X7R1H334M080AB</t>
  </si>
  <si>
    <t>TDK</t>
  </si>
  <si>
    <t>0.33uF</t>
  </si>
  <si>
    <t>CAP ALUM 560UF 20% 10V SMD</t>
  </si>
  <si>
    <t>CF4, CF7</t>
  </si>
  <si>
    <t>EEE-TC1A561UV</t>
  </si>
  <si>
    <t>Panasonic</t>
  </si>
  <si>
    <t>560uF</t>
  </si>
  <si>
    <t>CAP ALUM 4.7UF 20% 400V SMD</t>
  </si>
  <si>
    <t>CF10, CF11</t>
  </si>
  <si>
    <t>ULR2G4R7MNL1GS</t>
  </si>
  <si>
    <t>Nichicon</t>
  </si>
  <si>
    <t>4.7uF</t>
  </si>
  <si>
    <t>Diode</t>
  </si>
  <si>
    <t>TVS DIODE 70.1V 113V DO214AA</t>
  </si>
  <si>
    <t>D1</t>
  </si>
  <si>
    <t>SMB</t>
  </si>
  <si>
    <t>SMBJP6KE82A-TP</t>
  </si>
  <si>
    <t>MCC</t>
  </si>
  <si>
    <t>DIODE GEN PURP 600V 1A SMB</t>
  </si>
  <si>
    <t>D2</t>
  </si>
  <si>
    <t>MURS160-13</t>
  </si>
  <si>
    <t>Diodes</t>
  </si>
  <si>
    <t>Diode Switching 100V 1A 2Pin SMA</t>
  </si>
  <si>
    <t>D3</t>
  </si>
  <si>
    <t>SMA</t>
  </si>
  <si>
    <t>RS1B-13-F</t>
  </si>
  <si>
    <t>DIODE SCHOTTKY 30V 1A SOD123W</t>
  </si>
  <si>
    <t>D4</t>
  </si>
  <si>
    <t>PMEG3010ER,115</t>
  </si>
  <si>
    <t>NXP Semiconductors</t>
  </si>
  <si>
    <t>DIODE SCHOTTKY 40V 3A SMB</t>
  </si>
  <si>
    <t>DF1</t>
  </si>
  <si>
    <t>B340LB-13-F</t>
  </si>
  <si>
    <t>RECT BRIDGE GPP 1A 400V DFS</t>
  </si>
  <si>
    <t>DF4</t>
  </si>
  <si>
    <t>DF04S-T</t>
  </si>
  <si>
    <t>LED</t>
  </si>
  <si>
    <t>ADDRESS LED DISC SERIAL RGB 1=10</t>
  </si>
  <si>
    <t>LED2</t>
  </si>
  <si>
    <t>1655</t>
  </si>
  <si>
    <t>Adafruit Industries</t>
  </si>
  <si>
    <t>Inductor</t>
  </si>
  <si>
    <t>Ind Power Wirewound 470uH 10% 140mA 1812</t>
  </si>
  <si>
    <t>L1</t>
  </si>
  <si>
    <t>84474C</t>
  </si>
  <si>
    <t>Murata</t>
  </si>
  <si>
    <t>470uH</t>
  </si>
  <si>
    <t>Mosfet</t>
  </si>
  <si>
    <t>MOSFET P-CHAN 24V SOT23</t>
  </si>
  <si>
    <t>Q1</t>
  </si>
  <si>
    <t>SOT-23</t>
  </si>
  <si>
    <t>DMP2045U-7</t>
  </si>
  <si>
    <t>TRANS NPN 40V 0.6A SMD SOT23-3</t>
  </si>
  <si>
    <t>Q2, Q3</t>
  </si>
  <si>
    <t>MMBT2222A-7-F</t>
  </si>
  <si>
    <t>MOSFET N-CH 50V 200MA SOT-23</t>
  </si>
  <si>
    <t>Q4</t>
  </si>
  <si>
    <t>BSS138LT1G</t>
  </si>
  <si>
    <t>ON Semiconductor</t>
  </si>
  <si>
    <t>MOSFET N-CH 600V 2A DPAK</t>
  </si>
  <si>
    <t>QS1</t>
  </si>
  <si>
    <t>STD2HNK60Z</t>
  </si>
  <si>
    <t>STMicroelectronics</t>
  </si>
  <si>
    <t>Resistor</t>
  </si>
  <si>
    <t>RES SMD 1K OHM 5% 1/2W 0805</t>
  </si>
  <si>
    <t>R1, R6</t>
  </si>
  <si>
    <t>RES0805</t>
  </si>
  <si>
    <t>ERJ-P06J102V</t>
  </si>
  <si>
    <t>1K</t>
  </si>
  <si>
    <t>RES SMD 10K OHM 5% 1/2W 0805</t>
  </si>
  <si>
    <t>R2, R3, R4, R5, R8, R10, R12, R14, R24, R29, R39, R43, R56, R57, RC2, RC3</t>
  </si>
  <si>
    <t>ERJ-P06J103V</t>
  </si>
  <si>
    <t>10K</t>
  </si>
  <si>
    <t>RES SMD 47K OHM 1% 1/3W 0805</t>
  </si>
  <si>
    <t>R7</t>
  </si>
  <si>
    <t>CRCW080547K0FKEAHP</t>
  </si>
  <si>
    <t>47K</t>
  </si>
  <si>
    <t>RES SMD 100K OHM 5% 1/2W 0805</t>
  </si>
  <si>
    <t>R9, R26</t>
  </si>
  <si>
    <t>ERJ-P06J104V</t>
  </si>
  <si>
    <t>100K</t>
  </si>
  <si>
    <t>RES SMD 220K OHM 5% 1/2W 0805</t>
  </si>
  <si>
    <t>R11</t>
  </si>
  <si>
    <t>ERJ-P06J224V</t>
  </si>
  <si>
    <t>220K</t>
  </si>
  <si>
    <t>RES SMD 470K OHM 1% 1/3W 0805</t>
  </si>
  <si>
    <t>R13</t>
  </si>
  <si>
    <t>CRCW0805470KFKEAHP</t>
  </si>
  <si>
    <t>Vishay Dale</t>
  </si>
  <si>
    <t>470K</t>
  </si>
  <si>
    <t>RES SMD 665 OHM 1% 1/16W 0402</t>
  </si>
  <si>
    <t>R28</t>
  </si>
  <si>
    <t>Res0402</t>
  </si>
  <si>
    <t>RC0402FR-07665RL</t>
  </si>
  <si>
    <t>Yageo</t>
  </si>
  <si>
    <t>665R</t>
  </si>
  <si>
    <t>RES SMD 1M OHM 5% 1/2W 0805</t>
  </si>
  <si>
    <t>R32, R33</t>
  </si>
  <si>
    <t>ERJ-P06J105V</t>
  </si>
  <si>
    <t>1M</t>
  </si>
  <si>
    <t>RES SMD 10K OHM 5% 1/16W 0402, RES SMD 10K OHM 1% 1/10W 0402</t>
  </si>
  <si>
    <t>RC1, RF11, RF17</t>
  </si>
  <si>
    <t>Yageo, Panasonic</t>
  </si>
  <si>
    <t>RES 5.11M OHM 1% 1/4W 0805</t>
  </si>
  <si>
    <t>RF2, RF6, RF7</t>
  </si>
  <si>
    <t>RES 0805</t>
  </si>
  <si>
    <t>RK73H2ATTD5114F</t>
  </si>
  <si>
    <t>KOA Speer</t>
  </si>
  <si>
    <t>5.11M</t>
  </si>
  <si>
    <t>RES 487 OHM 1% 1/10W 0402</t>
  </si>
  <si>
    <t>RF8</t>
  </si>
  <si>
    <t>RK73H1ETTP4870F</t>
  </si>
  <si>
    <t>487R</t>
  </si>
  <si>
    <t>RES 10 OHM 5% 1/10W 0402</t>
  </si>
  <si>
    <t>RF10</t>
  </si>
  <si>
    <t>RK73B1ETTP100J</t>
  </si>
  <si>
    <t>10R</t>
  </si>
  <si>
    <t>RES SMD 10 OHM 5% 3W 2512</t>
  </si>
  <si>
    <t>RF12</t>
  </si>
  <si>
    <t>RES 2512</t>
  </si>
  <si>
    <t>352210RJT</t>
  </si>
  <si>
    <t>TE Connectivity CGS</t>
  </si>
  <si>
    <t>RF13</t>
  </si>
  <si>
    <t>4.64K</t>
  </si>
  <si>
    <t>RF14</t>
  </si>
  <si>
    <t>2.05R</t>
  </si>
  <si>
    <t>RES SMD 121K OHM 1% 1/10W 0402</t>
  </si>
  <si>
    <t>RF15</t>
  </si>
  <si>
    <t>ERJ-2RKF1213X</t>
  </si>
  <si>
    <t>121K</t>
  </si>
  <si>
    <t>RES 30.1K OHM 1% 1/10W 0402</t>
  </si>
  <si>
    <t>RF16</t>
  </si>
  <si>
    <t>RK73H1ETTP3012F</t>
  </si>
  <si>
    <t>30.1K</t>
  </si>
  <si>
    <t>RES SMD 22.6 OHM 1% 1/10W 0402</t>
  </si>
  <si>
    <t>RF18</t>
  </si>
  <si>
    <t>ERJ-2RKF22R6X</t>
  </si>
  <si>
    <t>22.6R</t>
  </si>
  <si>
    <t>RF19</t>
  </si>
  <si>
    <t>3.01K</t>
  </si>
  <si>
    <t>Switch</t>
  </si>
  <si>
    <t>Tactile Switch SPST-NO Side Actuated Surface Mount, Right Angle</t>
  </si>
  <si>
    <t>SW2</t>
  </si>
  <si>
    <t>KSS221GLFS</t>
  </si>
  <si>
    <t>ITT C&amp;K</t>
  </si>
  <si>
    <t>Transformer</t>
  </si>
  <si>
    <t>FLYBACK XFRM WE-FB T-WIN</t>
  </si>
  <si>
    <t>TR1</t>
  </si>
  <si>
    <t>750312723</t>
  </si>
  <si>
    <t>Wurth Electronics Midcom</t>
  </si>
  <si>
    <t>IC</t>
  </si>
  <si>
    <t>SPU-TOP MIC IOT FOCUSED MIC</t>
  </si>
  <si>
    <t>U1</t>
  </si>
  <si>
    <t>SPU0410HR5H-PB</t>
  </si>
  <si>
    <t>Knowles</t>
  </si>
  <si>
    <t>IC OPAMP GP 1 CIRCUIT SOT23-5</t>
  </si>
  <si>
    <t>U2, U3</t>
  </si>
  <si>
    <t>SOT23-5</t>
  </si>
  <si>
    <t>OPA344NA/250</t>
  </si>
  <si>
    <t>Texas Instruments</t>
  </si>
  <si>
    <t>IC SWITCH QUAD SPST 16TSSOP</t>
  </si>
  <si>
    <t>U4</t>
  </si>
  <si>
    <t>16-TSSOP</t>
  </si>
  <si>
    <t>ADG712BRUZ-REEL</t>
  </si>
  <si>
    <t>Analog Devices</t>
  </si>
  <si>
    <t>WIFI MODULE 128MBITS SPI FLASH</t>
  </si>
  <si>
    <t>U5</t>
  </si>
  <si>
    <t>ESP32-WROOM-32 (16MB)</t>
  </si>
  <si>
    <t>Espressif Systems</t>
  </si>
  <si>
    <t>IC REG LINEAR 3.3V 1A 8XDFN</t>
  </si>
  <si>
    <t>U6</t>
  </si>
  <si>
    <t>NCP186AMX330TAG</t>
  </si>
  <si>
    <t>IC BAT CHG LI-ION 1 CELL SOT23-6</t>
  </si>
  <si>
    <t>U7</t>
  </si>
  <si>
    <t>SOT-23-6</t>
  </si>
  <si>
    <t>BQ21040DBVR</t>
  </si>
  <si>
    <t>SENS HUMID/TEMP 3.6V I2C 2% 6DFN</t>
  </si>
  <si>
    <t>U10</t>
  </si>
  <si>
    <t>SI7021-A20-GM1R</t>
  </si>
  <si>
    <t>Silicon Labs</t>
  </si>
  <si>
    <t>IC REG CTRLR FLYBK ISO SOT23-6</t>
  </si>
  <si>
    <t>IC2</t>
  </si>
  <si>
    <t>UCC28700DBVR</t>
  </si>
  <si>
    <t xml:space="preserve">Connector </t>
  </si>
  <si>
    <t>CABLE ADAPTER 6 POS</t>
  </si>
  <si>
    <t>J1</t>
  </si>
  <si>
    <t>TC2030-IDC</t>
  </si>
  <si>
    <t>Tag-Connect</t>
  </si>
  <si>
    <t>CONN HEADER VERT 2POS 2.5MM</t>
  </si>
  <si>
    <t>J5</t>
  </si>
  <si>
    <t>B2B-EH-A(LF)(SN)</t>
  </si>
  <si>
    <t>JST</t>
  </si>
  <si>
    <t>TERMINAL BLOCK 2POS 5.08MM SIDE</t>
  </si>
  <si>
    <t>J6, J7</t>
  </si>
  <si>
    <t>Terminal Block 2P</t>
  </si>
  <si>
    <t>Terminal Block 2POS</t>
  </si>
  <si>
    <t>TE Connectivity</t>
  </si>
  <si>
    <t>Test Point ON</t>
  </si>
  <si>
    <t>P2, P4, P5, P6, P7, P8, P9, P18, P19, P20</t>
  </si>
  <si>
    <t>TEST POINT</t>
  </si>
  <si>
    <t/>
  </si>
  <si>
    <t>Solder Bridge ON</t>
  </si>
  <si>
    <t>SB1, SBxx</t>
  </si>
  <si>
    <t>Solder Bridge</t>
  </si>
  <si>
    <t>Remarks</t>
  </si>
  <si>
    <t xml:space="preserve">Total Price </t>
  </si>
  <si>
    <t xml:space="preserve">Unit Price </t>
  </si>
  <si>
    <t>Bill of Material (BOM) for  Eduardo_SMPS</t>
  </si>
  <si>
    <r>
      <t xml:space="preserve">RC0402JR-0710KL, </t>
    </r>
    <r>
      <rPr>
        <sz val="10"/>
        <color rgb="FFFF0000"/>
        <rFont val="Calibri"/>
        <family val="2"/>
        <scheme val="minor"/>
      </rPr>
      <t>ERJ-2RKF1002X</t>
    </r>
  </si>
  <si>
    <t xml:space="preserve">Notes: </t>
  </si>
  <si>
    <t xml:space="preserve">2- Supplier costing and custom charges are added in the final cost. </t>
  </si>
  <si>
    <t xml:space="preserve">Total Component Cost </t>
  </si>
  <si>
    <t>Mouser</t>
  </si>
  <si>
    <t>RES SMD 2.05 OHM 1% 1/10W 0603</t>
  </si>
  <si>
    <t>Res0603</t>
  </si>
  <si>
    <t>CRCW06032R05FKEA</t>
  </si>
  <si>
    <t>Review remaining</t>
  </si>
  <si>
    <t>Part changed. Need to change in design</t>
  </si>
  <si>
    <t>RES SMD 3.01K OHM 1% 1/10W 0402</t>
  </si>
  <si>
    <t>Res-0402</t>
  </si>
  <si>
    <t>ERJ-2RKF3011X</t>
  </si>
  <si>
    <t>RES 4.64K OHM 1% 1/10W 0402</t>
  </si>
  <si>
    <t>RK73H1ETTP4641F</t>
  </si>
  <si>
    <t>DO NOT Mount</t>
  </si>
  <si>
    <t>1- The costing is done for Fifty (50) boards. All components will be calculated with multiplication factor Fifty (50).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</si>
</sst>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7" fillId="3" borderId="7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6" fillId="3" borderId="8" xfId="1" applyFont="1" applyFill="1" applyBorder="1" applyAlignment="1" applyProtection="1">
      <alignment horizontal="center" vertical="center"/>
    </xf>
    <xf numFmtId="0" fontId="6" fillId="3" borderId="9" xfId="1" applyFont="1" applyFill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/>
    </xf>
    <xf numFmtId="0" fontId="4" fillId="0" borderId="9" xfId="0" quotePrefix="1" applyFont="1" applyBorder="1" applyAlignment="1">
      <alignment vertical="center"/>
    </xf>
    <xf numFmtId="0" fontId="4" fillId="0" borderId="9" xfId="0" quotePrefix="1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vertical="center"/>
    </xf>
    <xf numFmtId="0" fontId="4" fillId="0" borderId="3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8" xfId="0" quotePrefix="1" applyFont="1" applyBorder="1" applyAlignment="1">
      <alignment vertical="center"/>
    </xf>
    <xf numFmtId="0" fontId="4" fillId="0" borderId="18" xfId="0" quotePrefix="1" applyFont="1" applyBorder="1" applyAlignment="1">
      <alignment vertical="center" wrapText="1"/>
    </xf>
    <xf numFmtId="0" fontId="4" fillId="0" borderId="18" xfId="0" quotePrefix="1" applyFont="1" applyBorder="1" applyAlignment="1">
      <alignment horizontal="center" vertical="center"/>
    </xf>
    <xf numFmtId="0" fontId="5" fillId="0" borderId="18" xfId="0" quotePrefix="1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quotePrefix="1" applyFont="1" applyBorder="1" applyAlignment="1">
      <alignment vertical="center"/>
    </xf>
    <xf numFmtId="0" fontId="4" fillId="0" borderId="8" xfId="0" quotePrefix="1" applyFont="1" applyBorder="1" applyAlignment="1">
      <alignment vertical="center" wrapText="1"/>
    </xf>
    <xf numFmtId="0" fontId="4" fillId="0" borderId="8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6" fillId="0" borderId="9" xfId="1" applyFont="1" applyBorder="1" applyAlignment="1" applyProtection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6" fillId="0" borderId="3" xfId="1" applyFont="1" applyBorder="1" applyAlignment="1" applyProtection="1">
      <alignment horizontal="center" vertical="center"/>
    </xf>
    <xf numFmtId="0" fontId="4" fillId="0" borderId="18" xfId="0" quotePrefix="1" applyFont="1" applyFill="1" applyBorder="1" applyAlignment="1">
      <alignment horizontal="center" vertical="center"/>
    </xf>
    <xf numFmtId="0" fontId="6" fillId="0" borderId="18" xfId="1" applyFont="1" applyBorder="1" applyAlignment="1" applyProtection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center"/>
    </xf>
    <xf numFmtId="0" fontId="10" fillId="0" borderId="0" xfId="0" applyFont="1" applyFill="1" applyBorder="1" applyAlignment="1">
      <alignment wrapText="1"/>
    </xf>
    <xf numFmtId="164" fontId="1" fillId="2" borderId="4" xfId="0" applyNumberFormat="1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vertical="center"/>
    </xf>
    <xf numFmtId="0" fontId="4" fillId="4" borderId="3" xfId="0" quotePrefix="1" applyFont="1" applyFill="1" applyBorder="1" applyAlignment="1">
      <alignment vertical="center" wrapText="1"/>
    </xf>
    <xf numFmtId="0" fontId="4" fillId="4" borderId="3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3" xfId="1" applyFont="1" applyFill="1" applyBorder="1" applyAlignment="1" applyProtection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vertical="center"/>
    </xf>
    <xf numFmtId="0" fontId="4" fillId="3" borderId="3" xfId="0" quotePrefix="1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17" xfId="0" applyFont="1" applyFill="1" applyBorder="1"/>
    <xf numFmtId="164" fontId="4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0" fontId="4" fillId="4" borderId="17" xfId="0" applyFont="1" applyFill="1" applyBorder="1"/>
    <xf numFmtId="0" fontId="4" fillId="4" borderId="18" xfId="0" quotePrefix="1" applyFont="1" applyFill="1" applyBorder="1" applyAlignment="1">
      <alignment vertical="center"/>
    </xf>
    <xf numFmtId="0" fontId="4" fillId="4" borderId="18" xfId="0" quotePrefix="1" applyFont="1" applyFill="1" applyBorder="1" applyAlignment="1">
      <alignment vertical="center" wrapText="1"/>
    </xf>
    <xf numFmtId="0" fontId="4" fillId="4" borderId="18" xfId="0" quotePrefix="1" applyFont="1" applyFill="1" applyBorder="1" applyAlignment="1">
      <alignment horizontal="center" vertical="center"/>
    </xf>
    <xf numFmtId="0" fontId="5" fillId="4" borderId="18" xfId="0" quotePrefix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9" fillId="4" borderId="17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4" fillId="3" borderId="17" xfId="0" applyFont="1" applyFill="1" applyBorder="1"/>
    <xf numFmtId="0" fontId="4" fillId="3" borderId="18" xfId="0" quotePrefix="1" applyFont="1" applyFill="1" applyBorder="1" applyAlignment="1">
      <alignment vertical="center"/>
    </xf>
    <xf numFmtId="0" fontId="4" fillId="3" borderId="18" xfId="0" quotePrefix="1" applyFont="1" applyFill="1" applyBorder="1" applyAlignment="1">
      <alignment vertical="center" wrapText="1"/>
    </xf>
    <xf numFmtId="0" fontId="4" fillId="3" borderId="18" xfId="0" quotePrefix="1" applyFont="1" applyFill="1" applyBorder="1" applyAlignment="1">
      <alignment horizontal="center" vertical="center"/>
    </xf>
    <xf numFmtId="0" fontId="5" fillId="3" borderId="18" xfId="0" quotePrefix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nexperia-usa-inc/PMEG3010ER115/2119868?s=N4IgTCBcDaIAoFkCiBxAzABgIwaQJQBossBWEAXQF8g" TargetMode="External"/><Relationship Id="rId18" Type="http://schemas.openxmlformats.org/officeDocument/2006/relationships/hyperlink" Target="https://www.digikey.com/en/products/detail/diodes-incorporated/DMP2045U-7/8275356?s=N4IgTCBcDaICIFkAKYAMAWArAVQLQHYQBdAXyA" TargetMode="External"/><Relationship Id="rId26" Type="http://schemas.openxmlformats.org/officeDocument/2006/relationships/hyperlink" Target="https://www.digikey.com/en/products/detail/panasonic-electronic-components/ERJ-P06J224V/525240?s=N4IgTCBcDaIKICUBSBaACgBgGxLGALAGogC6AvkA" TargetMode="External"/><Relationship Id="rId39" Type="http://schemas.openxmlformats.org/officeDocument/2006/relationships/hyperlink" Target="https://www.digikey.com/en/products/detail/panasonic-electronic-components/ERJ-2RKF22R6X/79731?s=N4IgTCBcDaIKICUBSBaMCDSAxM6BsAGiALoC%2BQA" TargetMode="External"/><Relationship Id="rId21" Type="http://schemas.openxmlformats.org/officeDocument/2006/relationships/hyperlink" Target="https://www.digikey.com/en/products/detail/stmicroelectronics/STD2HNK60Z/1653989" TargetMode="External"/><Relationship Id="rId34" Type="http://schemas.openxmlformats.org/officeDocument/2006/relationships/hyperlink" Target="https://www.digikey.com/en/products/detail/te-connectivity-passive-product/352210RJT/5244975?s=N4IgTCBcDaIMwFYxgIwAYBKApAKiAugL5A" TargetMode="External"/><Relationship Id="rId42" Type="http://schemas.openxmlformats.org/officeDocument/2006/relationships/hyperlink" Target="https://www.digikey.com/en/products/detail/w%C3%BCrth-elektronik/750311558/3992650?s=N4IgTCBcDaIOwFYAMBmAjGhCAcIC6AvkA" TargetMode="External"/><Relationship Id="rId47" Type="http://schemas.openxmlformats.org/officeDocument/2006/relationships/hyperlink" Target="https://www.digikey.com/product-detail/en/texas-instruments/BQ21040DBVR/296-47315-1-ND/7688325" TargetMode="External"/><Relationship Id="rId50" Type="http://schemas.openxmlformats.org/officeDocument/2006/relationships/hyperlink" Target="https://www.digikey.com/product-detail/en/te-connectivity-amp-connectors/1776493-2/A122765-ND/2293915" TargetMode="External"/><Relationship Id="rId7" Type="http://schemas.openxmlformats.org/officeDocument/2006/relationships/hyperlink" Target="https://www.digikey.com/en/products/detail/tdk-corporation/CGA3E3X7R1H334M080AB/4931466?s=N4IgTCBcDaIMIHECCBmAoigGgdgEoEYAJFFAFgFkAGADkqQCEQBdAXyA" TargetMode="External"/><Relationship Id="rId2" Type="http://schemas.openxmlformats.org/officeDocument/2006/relationships/hyperlink" Target="https://eu.mouser.com/ProductDetail/Vishay-Cera-Mite/440LD10-R?qs=%2Fha2pyFaduiPowVDcLAO1gIIVHKCCb7tqlPmhNDhFqkkhJCr8B0t3A==&amp;utm_source=octopart&amp;utm_medium=aggregator&amp;utm_campaign=75-440LD10-R&amp;utm_content=Vishay" TargetMode="External"/><Relationship Id="rId16" Type="http://schemas.openxmlformats.org/officeDocument/2006/relationships/hyperlink" Target="https://www.digikey.com/en/products/detail/adafruit-industries-llc/1655/5154679" TargetMode="External"/><Relationship Id="rId29" Type="http://schemas.openxmlformats.org/officeDocument/2006/relationships/hyperlink" Target="https://www.digikey.com/en/products/detail/panasonic-electronic-components/ERJ-P06J105V/525200?s=N4IgTCBcDaIKICUBSBaACgBgGxIIwYFYA1EAXQF8g" TargetMode="External"/><Relationship Id="rId11" Type="http://schemas.openxmlformats.org/officeDocument/2006/relationships/hyperlink" Target="https://www.digikey.com/en/products/detail/MURS160-13-F/MURS160-FDICT-ND/815906?utm_campaign=buynow&amp;utm_medium=aggregator&amp;curr=usd&amp;utm_source=octopart" TargetMode="External"/><Relationship Id="rId24" Type="http://schemas.openxmlformats.org/officeDocument/2006/relationships/hyperlink" Target="https://www.digikey.com/en/products/detail/vishay-dale/CRCW080547K0FKEAHP/2222360?s=N4IgTCBcDaIMICU4HUAMAOVBWALAdgGlUAxAgUQEEAJABRAF0BfIA" TargetMode="External"/><Relationship Id="rId32" Type="http://schemas.openxmlformats.org/officeDocument/2006/relationships/hyperlink" Target="https://www.digikey.com/en/products/detail/koa-speer-electronics-inc/RK73H1ETTP4870F/9844141?s=N4IgTCBcDaIEoGkDsBmAEgRgKIBUcAUAWADiQAYAxEAXQF8g" TargetMode="External"/><Relationship Id="rId37" Type="http://schemas.openxmlformats.org/officeDocument/2006/relationships/hyperlink" Target="https://www.digikey.com/en/products/detail/panasonic-electronic-components/ERJ-2RKF1213X/192111?s=N4IgTCBcDaIKICUBSBaMCDSAxAjGHAzABogC6AvkA" TargetMode="External"/><Relationship Id="rId40" Type="http://schemas.openxmlformats.org/officeDocument/2006/relationships/hyperlink" Target="https://www.digikey.com/en/products/detail/panasonic-electronic-components/ERJ-2RKF3011X/192277" TargetMode="External"/><Relationship Id="rId45" Type="http://schemas.openxmlformats.org/officeDocument/2006/relationships/hyperlink" Target="https://www.digikey.com/product-detail/en/espressif-systems/ESP32-WROOM-32D-16MB/1904-1025-1-ND/9381734" TargetMode="External"/><Relationship Id="rId53" Type="http://schemas.openxmlformats.org/officeDocument/2006/relationships/hyperlink" Target="https://www.digikey.com/en/products/detail/tag-connect-llc/TC2030-IDC/4571121?s=N4IgTCBcDaICoGEwAYDMyC0BJAIgkAugL5A" TargetMode="External"/><Relationship Id="rId5" Type="http://schemas.openxmlformats.org/officeDocument/2006/relationships/hyperlink" Target="https://www.digikey.com/en/products/detail/kemet/C0805C475K4PACTU/2057920?s=N4IgTCBcDaIMIAYAcCCscAsB2VBpDACgIJwAqAqiALoC%2BQA" TargetMode="External"/><Relationship Id="rId10" Type="http://schemas.openxmlformats.org/officeDocument/2006/relationships/hyperlink" Target="https://www.digikey.com/en/products/detail/micro-commercial-co/SMBJP6KE82A-TP/2345614" TargetMode="External"/><Relationship Id="rId19" Type="http://schemas.openxmlformats.org/officeDocument/2006/relationships/hyperlink" Target="https://www.digikey.com/en/products/detail/diodes-incorporated/MMBT2222A-7-F/814503?s=N4IgTCBcDaILJwEIBUxrAQQLQHYsDEQBdAXyA" TargetMode="External"/><Relationship Id="rId31" Type="http://schemas.openxmlformats.org/officeDocument/2006/relationships/hyperlink" Target="https://www.digikey.com/en/products/detail/koa-speer-electronics-inc/RK73H2ATTD5114F/10234574?s=N4IgTCBcDaIEoGkDsBmAEmAggFWwEQFYBGIgFgDEQBdAXyA" TargetMode="External"/><Relationship Id="rId44" Type="http://schemas.openxmlformats.org/officeDocument/2006/relationships/hyperlink" Target="https://www.digikey.com/product-detail/en/analog-devices-inc/ADG712BRUZ-REEL/ADG712BRUZ-REELCT-ND/3771193" TargetMode="External"/><Relationship Id="rId52" Type="http://schemas.openxmlformats.org/officeDocument/2006/relationships/hyperlink" Target="https://www.digikey.com/en/products/detail/texas-instruments/UCC28700DBVR/3588896?s=N4IgTCBcDaIKoGEFgBwHYAMGAiAhAagEogC6AvkA" TargetMode="External"/><Relationship Id="rId4" Type="http://schemas.openxmlformats.org/officeDocument/2006/relationships/hyperlink" Target="https://www.digikey.com/en/products/detail/samsung-electro-mechanics/CL21B105KOFNNNG/3894469?s=N4IgTCBcDaIMIBkwEYBCyAMBWA0geQDEA5EgcRAF0BfIA" TargetMode="External"/><Relationship Id="rId9" Type="http://schemas.openxmlformats.org/officeDocument/2006/relationships/hyperlink" Target="https://www.digikey.com/en/products/detail/nichicon/ULR2G4R7MNL1GS/3664129?s=N4IgTCBcDaIKoBkBKYDiAWJB2AsgOQQEZUBlEAXQF8g" TargetMode="External"/><Relationship Id="rId14" Type="http://schemas.openxmlformats.org/officeDocument/2006/relationships/hyperlink" Target="https://www.digikey.com/en/products/detail/diodes-incorporated/B340LB-13-F/755461?s=N4IgTCBcDaIEIGYAsAGAMnAtARgZgYiALoC%2BQA" TargetMode="External"/><Relationship Id="rId22" Type="http://schemas.openxmlformats.org/officeDocument/2006/relationships/hyperlink" Target="https://www.digikey.com/en/products/detail/panasonic-electronic-components/ERJ-P06J102V/525197?s=N4IgTCBcDaIKICUBSBaACgBgGxIIwbADUQBdAXyA" TargetMode="External"/><Relationship Id="rId27" Type="http://schemas.openxmlformats.org/officeDocument/2006/relationships/hyperlink" Target="https://www.digikey.com/en/products/detail/vishay-dale/CRCW0805470KFKEAHP/2227258?s=N4IgTCBcDaIMICU4HUAMAOVBWALAdlQGkAxQgUQEEAJABRAF0BfIA" TargetMode="External"/><Relationship Id="rId30" Type="http://schemas.openxmlformats.org/officeDocument/2006/relationships/hyperlink" Target="https://www.digikey.com/en/products/detail/yageo/RC0402JR-0710KL/726418?s=N4IgTCBcDaIEoGEAMAWJYBScC0SDsAjEgNIAyIAugL5A" TargetMode="External"/><Relationship Id="rId35" Type="http://schemas.openxmlformats.org/officeDocument/2006/relationships/hyperlink" Target="https://www.digikey.com/en/products/detail/koa-speer-electronics-inc/RK73H1ETTP4641F/9844303" TargetMode="External"/><Relationship Id="rId43" Type="http://schemas.openxmlformats.org/officeDocument/2006/relationships/hyperlink" Target="https://www.digikey.com/product-detail/en/texas-instruments/OPA344NA-250/OPA344NACT-ND/362263" TargetMode="External"/><Relationship Id="rId48" Type="http://schemas.openxmlformats.org/officeDocument/2006/relationships/hyperlink" Target="https://www.digikey.com/product-detail/en/knowles/SPU0410HR5H-PB/423-1138-1-ND/2420982" TargetMode="External"/><Relationship Id="rId8" Type="http://schemas.openxmlformats.org/officeDocument/2006/relationships/hyperlink" Target="https://www.digikey.com/en/products/detail/panasonic-electronic-components/EEE-TC1A561UV/10290506?s=N4IgTCBcDaIKIILQBUDCBGAggVgGzoFUA1EAXQF8g" TargetMode="External"/><Relationship Id="rId51" Type="http://schemas.openxmlformats.org/officeDocument/2006/relationships/hyperlink" Target="https://www.digikey.com/en/products/detail/silicon-labs/SI7021-A20-GM1R/5048935?s=N4IgTCBcDaIMoEkDsAGMBGAtAQTCzA4gLLoBKIAugL5A" TargetMode="External"/><Relationship Id="rId3" Type="http://schemas.openxmlformats.org/officeDocument/2006/relationships/hyperlink" Target="https://www.digikey.com/en/products/detail/avx-corporation/1206YC105K4T2A/3081814?s=N4IgTCBcDaIIxgAwDYCaBhOiCsBpALACpgCCIAugL5A" TargetMode="External"/><Relationship Id="rId12" Type="http://schemas.openxmlformats.org/officeDocument/2006/relationships/hyperlink" Target="https://www.digikey.com/en/products/detail/diodes-incorporated/RS1B-13-F/717796" TargetMode="External"/><Relationship Id="rId17" Type="http://schemas.openxmlformats.org/officeDocument/2006/relationships/hyperlink" Target="https://www.digikey.com/en/products/detail/murata-power-solutions-inc/84474C/5798743?s=N4IgTCBcDaIBwBYEHYEGEQF0C%2BQ" TargetMode="External"/><Relationship Id="rId25" Type="http://schemas.openxmlformats.org/officeDocument/2006/relationships/hyperlink" Target="https://www.digikey.com/en/products/detail/panasonic-electronic-components/ERJ-P06J104V/525199?s=N4IgTCBcDaIKICUBSBaACgBgGxIIwYBYA1EAXQF8g" TargetMode="External"/><Relationship Id="rId33" Type="http://schemas.openxmlformats.org/officeDocument/2006/relationships/hyperlink" Target="https://www.digikey.com/en/products/detail/koa-speer-electronics-inc/RK73B1ETTP100J/9843968?s=N4IgTCBcDaIEoGkDsBmAQgRgKIBUcAUMAGIgKRAF0BfIA" TargetMode="External"/><Relationship Id="rId38" Type="http://schemas.openxmlformats.org/officeDocument/2006/relationships/hyperlink" Target="https://www.digikey.com/en/products/detail/koa-speer-electronics-inc/RK73H1ETTP3012F/9844092?s=N4IgTCBcDaIEoGkDsBmAEgRgKIBUcAUUAGDMAMRAF0BfIA" TargetMode="External"/><Relationship Id="rId46" Type="http://schemas.openxmlformats.org/officeDocument/2006/relationships/hyperlink" Target="https://www.digikey.com/product-detail/en/on-semiconductor/NCP186AMX330TAG/NCP186AMX330TAGOSCT-ND/5761671" TargetMode="External"/><Relationship Id="rId20" Type="http://schemas.openxmlformats.org/officeDocument/2006/relationships/hyperlink" Target="https://www.digikey.com/en/products/detail/on-semiconductor/BSS138LT1G/918376?s=N4IgTCBcDaIEIGUEEYDMAOAMgFWQcRAF0BfIA" TargetMode="External"/><Relationship Id="rId41" Type="http://schemas.openxmlformats.org/officeDocument/2006/relationships/hyperlink" Target="https://www.digikey.com/product-detail/en/c-k/KSS221GLFS/401-1097-1-ND/417665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amsung-electro-mechanics/CL21F104ZBCNNNC/3886665?s=N4IgTCBcDaIMIBkwEYBiyAMAWAWgITgDli4QBdAXyA" TargetMode="External"/><Relationship Id="rId6" Type="http://schemas.openxmlformats.org/officeDocument/2006/relationships/hyperlink" Target="https://www.digikey.com/en/products/detail/walsin-technology-corporation/0603B102K201CT/9354876?s=N4IgTCBcDaIAwDY4GYBCBGOYDSY7oGEAVEAXQF8g" TargetMode="External"/><Relationship Id="rId15" Type="http://schemas.openxmlformats.org/officeDocument/2006/relationships/hyperlink" Target="https://www.digikey.com/en/products/detail/diodes-incorporated/DF04S-T/1934941" TargetMode="External"/><Relationship Id="rId23" Type="http://schemas.openxmlformats.org/officeDocument/2006/relationships/hyperlink" Target="https://www.digikey.com/en/products/detail/panasonic-electronic-components/ERJ-P06J103V/525198?s=N4IgTCBcDaIKICUBSBaACgBgGxIIwYGYA1EAXQF8g" TargetMode="External"/><Relationship Id="rId28" Type="http://schemas.openxmlformats.org/officeDocument/2006/relationships/hyperlink" Target="https://www.digikey.com/en/products/detail/yageo/RC0402FR-07665RL/5281068?s=N4IgTCBcDaIEoGEAMAWJYBicC0SDsAbAQKxwAyIAugL5A" TargetMode="External"/><Relationship Id="rId36" Type="http://schemas.openxmlformats.org/officeDocument/2006/relationships/hyperlink" Target="https://www.digikey.com/en/products/detail/vishay-dale/CRCW06032R05FKEA/1961570" TargetMode="External"/><Relationship Id="rId49" Type="http://schemas.openxmlformats.org/officeDocument/2006/relationships/hyperlink" Target="https://www.digikey.com/products/en?keywords=B2B-EH-A(LF)(S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topLeftCell="G28" zoomScaleNormal="100" workbookViewId="0">
      <selection activeCell="J36" sqref="J36"/>
    </sheetView>
  </sheetViews>
  <sheetFormatPr defaultRowHeight="15" x14ac:dyDescent="0.25"/>
  <cols>
    <col min="2" max="2" width="15.85546875" bestFit="1" customWidth="1"/>
    <col min="3" max="3" width="63" bestFit="1" customWidth="1"/>
    <col min="4" max="4" width="55.5703125" customWidth="1"/>
    <col min="5" max="5" width="24.28515625" bestFit="1" customWidth="1"/>
    <col min="6" max="6" width="32.140625" bestFit="1" customWidth="1"/>
    <col min="7" max="7" width="23.42578125" bestFit="1" customWidth="1"/>
    <col min="8" max="8" width="24.28515625" bestFit="1" customWidth="1"/>
    <col min="14" max="14" width="32.28515625" bestFit="1" customWidth="1"/>
  </cols>
  <sheetData>
    <row r="1" spans="1:14" ht="16.5" thickBot="1" x14ac:dyDescent="0.3">
      <c r="A1" s="80" t="s">
        <v>255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2"/>
    </row>
    <row r="2" spans="1:14" ht="32.25" thickBot="1" x14ac:dyDescent="0.3">
      <c r="A2" s="1" t="s">
        <v>0</v>
      </c>
      <c r="B2" s="2" t="s">
        <v>1</v>
      </c>
      <c r="C2" s="9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0" t="s">
        <v>254</v>
      </c>
      <c r="M2" s="10" t="s">
        <v>253</v>
      </c>
      <c r="N2" s="10" t="s">
        <v>252</v>
      </c>
    </row>
    <row r="3" spans="1:14" ht="15.75" thickBot="1" x14ac:dyDescent="0.3">
      <c r="A3" s="11">
        <v>1</v>
      </c>
      <c r="B3" s="86" t="s">
        <v>11</v>
      </c>
      <c r="C3" s="20" t="s">
        <v>12</v>
      </c>
      <c r="D3" s="21" t="s">
        <v>13</v>
      </c>
      <c r="E3" s="22" t="s">
        <v>14</v>
      </c>
      <c r="F3" s="45" t="s">
        <v>15</v>
      </c>
      <c r="G3" s="23" t="s">
        <v>16</v>
      </c>
      <c r="H3" s="22" t="s">
        <v>17</v>
      </c>
      <c r="I3" s="24">
        <v>13</v>
      </c>
      <c r="J3" s="36">
        <f>I3*50</f>
        <v>650</v>
      </c>
      <c r="K3" s="46" t="s">
        <v>18</v>
      </c>
      <c r="L3" s="5">
        <v>1.2200000000000001E-2</v>
      </c>
      <c r="M3" s="47">
        <f>L3*J3</f>
        <v>7.9300000000000006</v>
      </c>
      <c r="N3" s="12"/>
    </row>
    <row r="4" spans="1:14" ht="15.75" thickBot="1" x14ac:dyDescent="0.3">
      <c r="A4" s="11">
        <f>A3+1</f>
        <v>2</v>
      </c>
      <c r="B4" s="87"/>
      <c r="C4" s="25" t="s">
        <v>19</v>
      </c>
      <c r="D4" s="26" t="s">
        <v>20</v>
      </c>
      <c r="E4" s="27" t="s">
        <v>21</v>
      </c>
      <c r="F4" s="44" t="s">
        <v>22</v>
      </c>
      <c r="G4" s="28" t="s">
        <v>23</v>
      </c>
      <c r="H4" s="27" t="s">
        <v>24</v>
      </c>
      <c r="I4" s="29">
        <v>1</v>
      </c>
      <c r="J4" s="29">
        <f>I4*50</f>
        <v>50</v>
      </c>
      <c r="K4" s="46" t="s">
        <v>260</v>
      </c>
      <c r="L4" s="5">
        <v>0.49</v>
      </c>
      <c r="M4" s="5">
        <f t="shared" ref="M4:M57" si="0">L4*J4</f>
        <v>24.5</v>
      </c>
      <c r="N4" s="13"/>
    </row>
    <row r="5" spans="1:14" ht="15.75" thickBot="1" x14ac:dyDescent="0.3">
      <c r="A5" s="11">
        <f t="shared" ref="A5:A57" si="1">A4+1</f>
        <v>3</v>
      </c>
      <c r="B5" s="87"/>
      <c r="C5" s="25" t="s">
        <v>25</v>
      </c>
      <c r="D5" s="26" t="s">
        <v>26</v>
      </c>
      <c r="E5" s="27" t="s">
        <v>27</v>
      </c>
      <c r="F5" s="44" t="s">
        <v>28</v>
      </c>
      <c r="G5" s="28" t="s">
        <v>29</v>
      </c>
      <c r="H5" s="27" t="s">
        <v>33</v>
      </c>
      <c r="I5" s="30">
        <v>2</v>
      </c>
      <c r="J5" s="29">
        <f t="shared" ref="J5:J11" si="2">I5*50</f>
        <v>100</v>
      </c>
      <c r="K5" s="48" t="s">
        <v>18</v>
      </c>
      <c r="L5" s="5">
        <v>0.14849999999999999</v>
      </c>
      <c r="M5" s="5">
        <f t="shared" si="0"/>
        <v>14.85</v>
      </c>
      <c r="N5" s="13"/>
    </row>
    <row r="6" spans="1:14" ht="15.75" thickBot="1" x14ac:dyDescent="0.3">
      <c r="A6" s="11">
        <f t="shared" si="1"/>
        <v>4</v>
      </c>
      <c r="B6" s="87"/>
      <c r="C6" s="25" t="s">
        <v>30</v>
      </c>
      <c r="D6" s="26" t="s">
        <v>31</v>
      </c>
      <c r="E6" s="27" t="s">
        <v>14</v>
      </c>
      <c r="F6" s="44" t="s">
        <v>32</v>
      </c>
      <c r="G6" s="28" t="s">
        <v>16</v>
      </c>
      <c r="H6" s="27" t="s">
        <v>33</v>
      </c>
      <c r="I6" s="29">
        <v>5</v>
      </c>
      <c r="J6" s="29">
        <f t="shared" si="2"/>
        <v>250</v>
      </c>
      <c r="K6" s="48" t="s">
        <v>18</v>
      </c>
      <c r="L6" s="5">
        <v>2.4500000000000001E-2</v>
      </c>
      <c r="M6" s="5">
        <f t="shared" si="0"/>
        <v>6.125</v>
      </c>
      <c r="N6" s="13"/>
    </row>
    <row r="7" spans="1:14" ht="15.75" thickBot="1" x14ac:dyDescent="0.3">
      <c r="A7" s="11">
        <f t="shared" si="1"/>
        <v>5</v>
      </c>
      <c r="B7" s="87"/>
      <c r="C7" s="25" t="s">
        <v>34</v>
      </c>
      <c r="D7" s="26" t="s">
        <v>35</v>
      </c>
      <c r="E7" s="27" t="s">
        <v>14</v>
      </c>
      <c r="F7" s="44" t="s">
        <v>36</v>
      </c>
      <c r="G7" s="28" t="s">
        <v>37</v>
      </c>
      <c r="H7" s="27" t="s">
        <v>38</v>
      </c>
      <c r="I7" s="30">
        <v>1</v>
      </c>
      <c r="J7" s="29">
        <f t="shared" si="2"/>
        <v>50</v>
      </c>
      <c r="K7" s="48" t="s">
        <v>18</v>
      </c>
      <c r="L7" s="5">
        <v>0.1094</v>
      </c>
      <c r="M7" s="5">
        <f t="shared" si="0"/>
        <v>5.47</v>
      </c>
      <c r="N7" s="13"/>
    </row>
    <row r="8" spans="1:14" ht="15.75" thickBot="1" x14ac:dyDescent="0.3">
      <c r="A8" s="11">
        <f t="shared" si="1"/>
        <v>6</v>
      </c>
      <c r="B8" s="87"/>
      <c r="C8" s="25" t="s">
        <v>39</v>
      </c>
      <c r="D8" s="26" t="s">
        <v>40</v>
      </c>
      <c r="E8" s="27" t="s">
        <v>41</v>
      </c>
      <c r="F8" s="44" t="s">
        <v>42</v>
      </c>
      <c r="G8" s="28" t="s">
        <v>43</v>
      </c>
      <c r="H8" s="27" t="s">
        <v>44</v>
      </c>
      <c r="I8" s="29">
        <v>1</v>
      </c>
      <c r="J8" s="29">
        <f t="shared" si="2"/>
        <v>50</v>
      </c>
      <c r="K8" s="48" t="s">
        <v>18</v>
      </c>
      <c r="L8" s="5">
        <v>3.7400000000000003E-2</v>
      </c>
      <c r="M8" s="5">
        <f t="shared" si="0"/>
        <v>1.87</v>
      </c>
      <c r="N8" s="13"/>
    </row>
    <row r="9" spans="1:14" ht="15.75" thickBot="1" x14ac:dyDescent="0.3">
      <c r="A9" s="11">
        <f t="shared" si="1"/>
        <v>7</v>
      </c>
      <c r="B9" s="87"/>
      <c r="C9" s="25" t="s">
        <v>45</v>
      </c>
      <c r="D9" s="26" t="s">
        <v>46</v>
      </c>
      <c r="E9" s="27" t="s">
        <v>41</v>
      </c>
      <c r="F9" s="44" t="s">
        <v>47</v>
      </c>
      <c r="G9" s="28" t="s">
        <v>48</v>
      </c>
      <c r="H9" s="27" t="s">
        <v>49</v>
      </c>
      <c r="I9" s="30">
        <v>1</v>
      </c>
      <c r="J9" s="29">
        <f t="shared" si="2"/>
        <v>50</v>
      </c>
      <c r="K9" s="48" t="s">
        <v>18</v>
      </c>
      <c r="L9" s="5">
        <v>0.1176</v>
      </c>
      <c r="M9" s="5">
        <f t="shared" si="0"/>
        <v>5.88</v>
      </c>
      <c r="N9" s="13"/>
    </row>
    <row r="10" spans="1:14" ht="15.75" thickBot="1" x14ac:dyDescent="0.3">
      <c r="A10" s="11">
        <f t="shared" si="1"/>
        <v>8</v>
      </c>
      <c r="B10" s="87"/>
      <c r="C10" s="25" t="s">
        <v>50</v>
      </c>
      <c r="D10" s="26" t="s">
        <v>51</v>
      </c>
      <c r="E10" s="27" t="s">
        <v>52</v>
      </c>
      <c r="F10" s="44" t="s">
        <v>52</v>
      </c>
      <c r="G10" s="28" t="s">
        <v>53</v>
      </c>
      <c r="H10" s="27" t="s">
        <v>54</v>
      </c>
      <c r="I10" s="29">
        <v>2</v>
      </c>
      <c r="J10" s="29">
        <f t="shared" si="2"/>
        <v>100</v>
      </c>
      <c r="K10" s="48" t="s">
        <v>18</v>
      </c>
      <c r="L10" s="5">
        <v>0.72560000000000002</v>
      </c>
      <c r="M10" s="5">
        <f t="shared" si="0"/>
        <v>72.56</v>
      </c>
      <c r="N10" s="13"/>
    </row>
    <row r="11" spans="1:14" ht="15.75" thickBot="1" x14ac:dyDescent="0.3">
      <c r="A11" s="11">
        <f t="shared" si="1"/>
        <v>9</v>
      </c>
      <c r="B11" s="88"/>
      <c r="C11" s="31" t="s">
        <v>55</v>
      </c>
      <c r="D11" s="32" t="s">
        <v>56</v>
      </c>
      <c r="E11" s="33" t="s">
        <v>57</v>
      </c>
      <c r="F11" s="49" t="s">
        <v>57</v>
      </c>
      <c r="G11" s="34" t="s">
        <v>58</v>
      </c>
      <c r="H11" s="33" t="s">
        <v>59</v>
      </c>
      <c r="I11" s="35">
        <v>2</v>
      </c>
      <c r="J11" s="29">
        <f t="shared" si="2"/>
        <v>100</v>
      </c>
      <c r="K11" s="50" t="s">
        <v>18</v>
      </c>
      <c r="L11" s="51">
        <v>0.39029999999999998</v>
      </c>
      <c r="M11" s="51">
        <f t="shared" si="0"/>
        <v>39.03</v>
      </c>
      <c r="N11" s="14"/>
    </row>
    <row r="12" spans="1:14" ht="15.75" thickBot="1" x14ac:dyDescent="0.3">
      <c r="A12" s="11">
        <f t="shared" si="1"/>
        <v>10</v>
      </c>
      <c r="B12" s="86" t="s">
        <v>60</v>
      </c>
      <c r="C12" s="20" t="s">
        <v>61</v>
      </c>
      <c r="D12" s="21" t="s">
        <v>62</v>
      </c>
      <c r="E12" s="22" t="s">
        <v>63</v>
      </c>
      <c r="F12" s="45" t="s">
        <v>64</v>
      </c>
      <c r="G12" s="23" t="s">
        <v>65</v>
      </c>
      <c r="H12" s="22" t="s">
        <v>64</v>
      </c>
      <c r="I12" s="36">
        <v>1</v>
      </c>
      <c r="J12" s="36">
        <f>I12*50</f>
        <v>50</v>
      </c>
      <c r="K12" s="46" t="s">
        <v>18</v>
      </c>
      <c r="L12" s="70">
        <v>0.28000000000000003</v>
      </c>
      <c r="M12" s="47">
        <f t="shared" si="0"/>
        <v>14.000000000000002</v>
      </c>
      <c r="N12" s="12"/>
    </row>
    <row r="13" spans="1:14" ht="15.75" thickBot="1" x14ac:dyDescent="0.3">
      <c r="A13" s="11">
        <f t="shared" si="1"/>
        <v>11</v>
      </c>
      <c r="B13" s="87"/>
      <c r="C13" s="64" t="s">
        <v>66</v>
      </c>
      <c r="D13" s="65" t="s">
        <v>67</v>
      </c>
      <c r="E13" s="66" t="s">
        <v>63</v>
      </c>
      <c r="F13" s="66" t="s">
        <v>68</v>
      </c>
      <c r="G13" s="67" t="s">
        <v>69</v>
      </c>
      <c r="H13" s="66" t="s">
        <v>68</v>
      </c>
      <c r="I13" s="68">
        <v>1</v>
      </c>
      <c r="J13" s="68">
        <f>I13*50</f>
        <v>50</v>
      </c>
      <c r="K13" s="18" t="s">
        <v>18</v>
      </c>
      <c r="L13" s="6">
        <v>0.28199999999999997</v>
      </c>
      <c r="M13" s="6">
        <f t="shared" si="0"/>
        <v>14.099999999999998</v>
      </c>
      <c r="N13" s="69"/>
    </row>
    <row r="14" spans="1:14" ht="15.75" thickBot="1" x14ac:dyDescent="0.3">
      <c r="A14" s="11">
        <f t="shared" si="1"/>
        <v>12</v>
      </c>
      <c r="B14" s="87"/>
      <c r="C14" s="25" t="s">
        <v>70</v>
      </c>
      <c r="D14" s="26" t="s">
        <v>71</v>
      </c>
      <c r="E14" s="27" t="s">
        <v>72</v>
      </c>
      <c r="F14" s="44" t="s">
        <v>73</v>
      </c>
      <c r="G14" s="28" t="s">
        <v>69</v>
      </c>
      <c r="H14" s="27" t="s">
        <v>73</v>
      </c>
      <c r="I14" s="29">
        <v>1</v>
      </c>
      <c r="J14" s="29">
        <f>I14*50</f>
        <v>50</v>
      </c>
      <c r="K14" s="48" t="s">
        <v>18</v>
      </c>
      <c r="L14" s="5">
        <v>0.28299999999999997</v>
      </c>
      <c r="M14" s="5">
        <f t="shared" si="0"/>
        <v>14.149999999999999</v>
      </c>
      <c r="N14" s="13"/>
    </row>
    <row r="15" spans="1:14" ht="15.75" thickBot="1" x14ac:dyDescent="0.3">
      <c r="A15" s="11">
        <f t="shared" si="1"/>
        <v>13</v>
      </c>
      <c r="B15" s="87"/>
      <c r="C15" s="25" t="s">
        <v>74</v>
      </c>
      <c r="D15" s="26" t="s">
        <v>75</v>
      </c>
      <c r="E15" s="27" t="s">
        <v>76</v>
      </c>
      <c r="F15" s="44" t="s">
        <v>76</v>
      </c>
      <c r="G15" s="28" t="s">
        <v>77</v>
      </c>
      <c r="H15" s="27" t="s">
        <v>76</v>
      </c>
      <c r="I15" s="30">
        <v>1</v>
      </c>
      <c r="J15" s="29">
        <f t="shared" ref="J15:J16" si="3">I15*50</f>
        <v>50</v>
      </c>
      <c r="K15" s="48" t="s">
        <v>18</v>
      </c>
      <c r="L15" s="52">
        <v>0.27200000000000002</v>
      </c>
      <c r="M15" s="5">
        <f t="shared" si="0"/>
        <v>13.600000000000001</v>
      </c>
      <c r="N15" s="13"/>
    </row>
    <row r="16" spans="1:14" ht="15.75" thickBot="1" x14ac:dyDescent="0.3">
      <c r="A16" s="11">
        <f t="shared" si="1"/>
        <v>14</v>
      </c>
      <c r="B16" s="87"/>
      <c r="C16" s="25" t="s">
        <v>78</v>
      </c>
      <c r="D16" s="26" t="s">
        <v>79</v>
      </c>
      <c r="E16" s="27" t="s">
        <v>63</v>
      </c>
      <c r="F16" s="44" t="s">
        <v>80</v>
      </c>
      <c r="G16" s="28" t="s">
        <v>69</v>
      </c>
      <c r="H16" s="27" t="s">
        <v>80</v>
      </c>
      <c r="I16" s="29">
        <v>1</v>
      </c>
      <c r="J16" s="29">
        <f t="shared" si="3"/>
        <v>50</v>
      </c>
      <c r="K16" s="48" t="s">
        <v>18</v>
      </c>
      <c r="L16" s="5">
        <v>0.318</v>
      </c>
      <c r="M16" s="5">
        <f t="shared" si="0"/>
        <v>15.9</v>
      </c>
      <c r="N16" s="13"/>
    </row>
    <row r="17" spans="1:14" ht="15.75" thickBot="1" x14ac:dyDescent="0.3">
      <c r="A17" s="11">
        <f t="shared" si="1"/>
        <v>15</v>
      </c>
      <c r="B17" s="88"/>
      <c r="C17" s="31" t="s">
        <v>81</v>
      </c>
      <c r="D17" s="32" t="s">
        <v>82</v>
      </c>
      <c r="E17" s="33" t="s">
        <v>83</v>
      </c>
      <c r="F17" s="49" t="s">
        <v>83</v>
      </c>
      <c r="G17" s="34" t="s">
        <v>69</v>
      </c>
      <c r="H17" s="33" t="s">
        <v>83</v>
      </c>
      <c r="I17" s="35">
        <v>1</v>
      </c>
      <c r="J17" s="29">
        <f t="shared" ref="J17:J25" si="4">I17*50</f>
        <v>50</v>
      </c>
      <c r="K17" s="50" t="s">
        <v>18</v>
      </c>
      <c r="L17" s="51">
        <v>0.36899999999999999</v>
      </c>
      <c r="M17" s="51">
        <f t="shared" si="0"/>
        <v>18.45</v>
      </c>
      <c r="N17" s="14"/>
    </row>
    <row r="18" spans="1:14" ht="15.75" thickBot="1" x14ac:dyDescent="0.3">
      <c r="A18" s="11">
        <f t="shared" si="1"/>
        <v>16</v>
      </c>
      <c r="B18" s="15" t="s">
        <v>84</v>
      </c>
      <c r="C18" s="37" t="s">
        <v>85</v>
      </c>
      <c r="D18" s="38" t="s">
        <v>86</v>
      </c>
      <c r="E18" s="39" t="s">
        <v>87</v>
      </c>
      <c r="F18" s="53" t="s">
        <v>87</v>
      </c>
      <c r="G18" s="40" t="s">
        <v>88</v>
      </c>
      <c r="H18" s="39" t="s">
        <v>87</v>
      </c>
      <c r="I18" s="41">
        <v>1</v>
      </c>
      <c r="J18" s="42">
        <f t="shared" si="4"/>
        <v>50</v>
      </c>
      <c r="K18" s="54" t="s">
        <v>18</v>
      </c>
      <c r="L18" s="71">
        <v>4.5</v>
      </c>
      <c r="M18" s="3">
        <f t="shared" si="0"/>
        <v>225</v>
      </c>
      <c r="N18" s="16"/>
    </row>
    <row r="19" spans="1:14" ht="15.75" thickBot="1" x14ac:dyDescent="0.3">
      <c r="A19" s="11">
        <f t="shared" si="1"/>
        <v>17</v>
      </c>
      <c r="B19" s="15" t="s">
        <v>89</v>
      </c>
      <c r="C19" s="37" t="s">
        <v>90</v>
      </c>
      <c r="D19" s="38" t="s">
        <v>91</v>
      </c>
      <c r="E19" s="39" t="s">
        <v>92</v>
      </c>
      <c r="F19" s="53" t="s">
        <v>92</v>
      </c>
      <c r="G19" s="40" t="s">
        <v>93</v>
      </c>
      <c r="H19" s="39" t="s">
        <v>94</v>
      </c>
      <c r="I19" s="42">
        <v>1</v>
      </c>
      <c r="J19" s="42">
        <f t="shared" si="4"/>
        <v>50</v>
      </c>
      <c r="K19" s="54" t="s">
        <v>18</v>
      </c>
      <c r="L19" s="3">
        <v>0.374</v>
      </c>
      <c r="M19" s="3">
        <f t="shared" si="0"/>
        <v>18.7</v>
      </c>
      <c r="N19" s="16"/>
    </row>
    <row r="20" spans="1:14" ht="15.75" thickBot="1" x14ac:dyDescent="0.3">
      <c r="A20" s="11">
        <f t="shared" si="1"/>
        <v>18</v>
      </c>
      <c r="B20" s="86" t="s">
        <v>95</v>
      </c>
      <c r="C20" s="20" t="s">
        <v>96</v>
      </c>
      <c r="D20" s="21" t="s">
        <v>97</v>
      </c>
      <c r="E20" s="22" t="s">
        <v>98</v>
      </c>
      <c r="F20" s="45" t="s">
        <v>99</v>
      </c>
      <c r="G20" s="23" t="s">
        <v>69</v>
      </c>
      <c r="H20" s="22" t="s">
        <v>99</v>
      </c>
      <c r="I20" s="24">
        <v>1</v>
      </c>
      <c r="J20" s="36">
        <f t="shared" si="4"/>
        <v>50</v>
      </c>
      <c r="K20" s="46" t="s">
        <v>18</v>
      </c>
      <c r="L20" s="70">
        <v>0.2828</v>
      </c>
      <c r="M20" s="47">
        <f t="shared" si="0"/>
        <v>14.14</v>
      </c>
      <c r="N20" s="12"/>
    </row>
    <row r="21" spans="1:14" ht="15.75" thickBot="1" x14ac:dyDescent="0.3">
      <c r="A21" s="11">
        <f t="shared" si="1"/>
        <v>19</v>
      </c>
      <c r="B21" s="87"/>
      <c r="C21" s="25" t="s">
        <v>100</v>
      </c>
      <c r="D21" s="26" t="s">
        <v>101</v>
      </c>
      <c r="E21" s="27" t="s">
        <v>98</v>
      </c>
      <c r="F21" s="44" t="s">
        <v>102</v>
      </c>
      <c r="G21" s="28" t="s">
        <v>69</v>
      </c>
      <c r="H21" s="27" t="s">
        <v>102</v>
      </c>
      <c r="I21" s="29">
        <v>2</v>
      </c>
      <c r="J21" s="29">
        <f t="shared" si="4"/>
        <v>100</v>
      </c>
      <c r="K21" s="48" t="s">
        <v>18</v>
      </c>
      <c r="L21" s="5">
        <v>0.05</v>
      </c>
      <c r="M21" s="5">
        <f t="shared" si="0"/>
        <v>5</v>
      </c>
      <c r="N21" s="13"/>
    </row>
    <row r="22" spans="1:14" ht="15.75" thickBot="1" x14ac:dyDescent="0.3">
      <c r="A22" s="11">
        <f t="shared" si="1"/>
        <v>20</v>
      </c>
      <c r="B22" s="87"/>
      <c r="C22" s="25" t="s">
        <v>103</v>
      </c>
      <c r="D22" s="26" t="s">
        <v>104</v>
      </c>
      <c r="E22" s="27" t="s">
        <v>98</v>
      </c>
      <c r="F22" s="44" t="s">
        <v>105</v>
      </c>
      <c r="G22" s="28" t="s">
        <v>106</v>
      </c>
      <c r="H22" s="27" t="s">
        <v>105</v>
      </c>
      <c r="I22" s="30">
        <v>1</v>
      </c>
      <c r="J22" s="29">
        <f t="shared" si="4"/>
        <v>50</v>
      </c>
      <c r="K22" s="48" t="s">
        <v>18</v>
      </c>
      <c r="L22" s="5">
        <v>0.17199999999999999</v>
      </c>
      <c r="M22" s="5">
        <f t="shared" si="0"/>
        <v>8.6</v>
      </c>
      <c r="N22" s="13"/>
    </row>
    <row r="23" spans="1:14" ht="15.75" thickBot="1" x14ac:dyDescent="0.3">
      <c r="A23" s="11">
        <f t="shared" si="1"/>
        <v>21</v>
      </c>
      <c r="B23" s="88"/>
      <c r="C23" s="31" t="s">
        <v>107</v>
      </c>
      <c r="D23" s="32" t="s">
        <v>108</v>
      </c>
      <c r="E23" s="33" t="s">
        <v>109</v>
      </c>
      <c r="F23" s="49" t="s">
        <v>109</v>
      </c>
      <c r="G23" s="34" t="s">
        <v>110</v>
      </c>
      <c r="H23" s="33" t="s">
        <v>109</v>
      </c>
      <c r="I23" s="43">
        <v>1</v>
      </c>
      <c r="J23" s="43">
        <f t="shared" si="4"/>
        <v>50</v>
      </c>
      <c r="K23" s="50" t="s">
        <v>18</v>
      </c>
      <c r="L23" s="51">
        <v>0.83440000000000003</v>
      </c>
      <c r="M23" s="51">
        <f t="shared" si="0"/>
        <v>41.72</v>
      </c>
      <c r="N23" s="14"/>
    </row>
    <row r="24" spans="1:14" ht="15.75" thickBot="1" x14ac:dyDescent="0.3">
      <c r="A24" s="11">
        <f t="shared" si="1"/>
        <v>22</v>
      </c>
      <c r="B24" s="86" t="s">
        <v>111</v>
      </c>
      <c r="C24" s="20" t="s">
        <v>112</v>
      </c>
      <c r="D24" s="21" t="s">
        <v>113</v>
      </c>
      <c r="E24" s="22" t="s">
        <v>114</v>
      </c>
      <c r="F24" s="45" t="s">
        <v>115</v>
      </c>
      <c r="G24" s="23" t="s">
        <v>53</v>
      </c>
      <c r="H24" s="22" t="s">
        <v>116</v>
      </c>
      <c r="I24" s="24">
        <v>2</v>
      </c>
      <c r="J24" s="36">
        <f t="shared" si="4"/>
        <v>100</v>
      </c>
      <c r="K24" s="46" t="s">
        <v>18</v>
      </c>
      <c r="L24" s="70">
        <v>3.5999999999999997E-2</v>
      </c>
      <c r="M24" s="47">
        <f t="shared" si="0"/>
        <v>3.5999999999999996</v>
      </c>
      <c r="N24" s="12"/>
    </row>
    <row r="25" spans="1:14" ht="26.25" thickBot="1" x14ac:dyDescent="0.3">
      <c r="A25" s="11">
        <f t="shared" si="1"/>
        <v>23</v>
      </c>
      <c r="B25" s="87"/>
      <c r="C25" s="25" t="s">
        <v>117</v>
      </c>
      <c r="D25" s="26" t="s">
        <v>118</v>
      </c>
      <c r="E25" s="27" t="s">
        <v>114</v>
      </c>
      <c r="F25" s="44" t="s">
        <v>119</v>
      </c>
      <c r="G25" s="28" t="s">
        <v>53</v>
      </c>
      <c r="H25" s="27" t="s">
        <v>120</v>
      </c>
      <c r="I25" s="29">
        <v>16</v>
      </c>
      <c r="J25" s="29">
        <f t="shared" si="4"/>
        <v>800</v>
      </c>
      <c r="K25" s="48" t="s">
        <v>18</v>
      </c>
      <c r="L25" s="5">
        <v>3.5999999999999997E-2</v>
      </c>
      <c r="M25" s="5">
        <f t="shared" si="0"/>
        <v>28.799999999999997</v>
      </c>
      <c r="N25" s="13"/>
    </row>
    <row r="26" spans="1:14" ht="15.75" thickBot="1" x14ac:dyDescent="0.3">
      <c r="A26" s="11">
        <f t="shared" si="1"/>
        <v>24</v>
      </c>
      <c r="B26" s="87"/>
      <c r="C26" s="25" t="s">
        <v>121</v>
      </c>
      <c r="D26" s="26" t="s">
        <v>122</v>
      </c>
      <c r="E26" s="27" t="s">
        <v>114</v>
      </c>
      <c r="F26" s="44" t="s">
        <v>123</v>
      </c>
      <c r="G26" s="28" t="s">
        <v>23</v>
      </c>
      <c r="H26" s="27" t="s">
        <v>124</v>
      </c>
      <c r="I26" s="30">
        <v>1</v>
      </c>
      <c r="J26" s="29">
        <f t="shared" ref="J26:J42" si="5">I26*50</f>
        <v>50</v>
      </c>
      <c r="K26" s="48" t="s">
        <v>18</v>
      </c>
      <c r="L26" s="5">
        <v>0.193</v>
      </c>
      <c r="M26" s="5">
        <f t="shared" si="0"/>
        <v>9.65</v>
      </c>
      <c r="N26" s="13"/>
    </row>
    <row r="27" spans="1:14" ht="15.75" thickBot="1" x14ac:dyDescent="0.3">
      <c r="A27" s="11">
        <f t="shared" si="1"/>
        <v>25</v>
      </c>
      <c r="B27" s="87"/>
      <c r="C27" s="25" t="s">
        <v>125</v>
      </c>
      <c r="D27" s="26" t="s">
        <v>126</v>
      </c>
      <c r="E27" s="27" t="s">
        <v>114</v>
      </c>
      <c r="F27" s="44" t="s">
        <v>127</v>
      </c>
      <c r="G27" s="28" t="s">
        <v>53</v>
      </c>
      <c r="H27" s="27" t="s">
        <v>128</v>
      </c>
      <c r="I27" s="29">
        <v>2</v>
      </c>
      <c r="J27" s="29">
        <f t="shared" si="5"/>
        <v>100</v>
      </c>
      <c r="K27" s="48" t="s">
        <v>18</v>
      </c>
      <c r="L27" s="5">
        <v>3.5999999999999997E-2</v>
      </c>
      <c r="M27" s="5">
        <f t="shared" si="0"/>
        <v>3.5999999999999996</v>
      </c>
      <c r="N27" s="13"/>
    </row>
    <row r="28" spans="1:14" ht="15.75" thickBot="1" x14ac:dyDescent="0.3">
      <c r="A28" s="11">
        <f t="shared" si="1"/>
        <v>26</v>
      </c>
      <c r="B28" s="87"/>
      <c r="C28" s="25" t="s">
        <v>129</v>
      </c>
      <c r="D28" s="26" t="s">
        <v>130</v>
      </c>
      <c r="E28" s="27" t="s">
        <v>114</v>
      </c>
      <c r="F28" s="44" t="s">
        <v>131</v>
      </c>
      <c r="G28" s="28" t="s">
        <v>53</v>
      </c>
      <c r="H28" s="27" t="s">
        <v>132</v>
      </c>
      <c r="I28" s="30">
        <v>1</v>
      </c>
      <c r="J28" s="29">
        <f t="shared" si="5"/>
        <v>50</v>
      </c>
      <c r="K28" s="48" t="s">
        <v>18</v>
      </c>
      <c r="L28" s="5">
        <v>9.4E-2</v>
      </c>
      <c r="M28" s="5">
        <f t="shared" si="0"/>
        <v>4.7</v>
      </c>
      <c r="N28" s="13"/>
    </row>
    <row r="29" spans="1:14" ht="15.75" thickBot="1" x14ac:dyDescent="0.3">
      <c r="A29" s="11">
        <f t="shared" si="1"/>
        <v>27</v>
      </c>
      <c r="B29" s="87"/>
      <c r="C29" s="25" t="s">
        <v>133</v>
      </c>
      <c r="D29" s="26" t="s">
        <v>134</v>
      </c>
      <c r="E29" s="27" t="s">
        <v>114</v>
      </c>
      <c r="F29" s="44" t="s">
        <v>135</v>
      </c>
      <c r="G29" s="28" t="s">
        <v>136</v>
      </c>
      <c r="H29" s="27" t="s">
        <v>137</v>
      </c>
      <c r="I29" s="29">
        <v>1</v>
      </c>
      <c r="J29" s="29">
        <f t="shared" si="5"/>
        <v>50</v>
      </c>
      <c r="K29" s="48" t="s">
        <v>18</v>
      </c>
      <c r="L29" s="5">
        <v>0.193</v>
      </c>
      <c r="M29" s="5">
        <f t="shared" si="0"/>
        <v>9.65</v>
      </c>
      <c r="N29" s="13"/>
    </row>
    <row r="30" spans="1:14" ht="15.75" thickBot="1" x14ac:dyDescent="0.3">
      <c r="A30" s="11">
        <f t="shared" si="1"/>
        <v>28</v>
      </c>
      <c r="B30" s="87"/>
      <c r="C30" s="25" t="s">
        <v>138</v>
      </c>
      <c r="D30" s="26" t="s">
        <v>139</v>
      </c>
      <c r="E30" s="27" t="s">
        <v>140</v>
      </c>
      <c r="F30" s="44" t="s">
        <v>141</v>
      </c>
      <c r="G30" s="28" t="s">
        <v>142</v>
      </c>
      <c r="H30" s="27" t="s">
        <v>143</v>
      </c>
      <c r="I30" s="30">
        <v>1</v>
      </c>
      <c r="J30" s="29">
        <f t="shared" si="5"/>
        <v>50</v>
      </c>
      <c r="K30" s="48" t="s">
        <v>18</v>
      </c>
      <c r="L30" s="5">
        <v>1.4E-2</v>
      </c>
      <c r="M30" s="5">
        <f t="shared" si="0"/>
        <v>0.70000000000000007</v>
      </c>
      <c r="N30" s="13"/>
    </row>
    <row r="31" spans="1:14" ht="15.75" thickBot="1" x14ac:dyDescent="0.3">
      <c r="A31" s="11">
        <f t="shared" si="1"/>
        <v>29</v>
      </c>
      <c r="B31" s="87"/>
      <c r="C31" s="25" t="s">
        <v>144</v>
      </c>
      <c r="D31" s="26" t="s">
        <v>145</v>
      </c>
      <c r="E31" s="27" t="s">
        <v>114</v>
      </c>
      <c r="F31" s="44" t="s">
        <v>146</v>
      </c>
      <c r="G31" s="28" t="s">
        <v>53</v>
      </c>
      <c r="H31" s="27" t="s">
        <v>147</v>
      </c>
      <c r="I31" s="29">
        <v>2</v>
      </c>
      <c r="J31" s="29">
        <f t="shared" si="5"/>
        <v>100</v>
      </c>
      <c r="K31" s="48" t="s">
        <v>18</v>
      </c>
      <c r="L31" s="5">
        <v>3.5999999999999997E-2</v>
      </c>
      <c r="M31" s="5">
        <f t="shared" si="0"/>
        <v>3.5999999999999996</v>
      </c>
      <c r="N31" s="13"/>
    </row>
    <row r="32" spans="1:14" ht="15.75" thickBot="1" x14ac:dyDescent="0.3">
      <c r="A32" s="11">
        <f t="shared" si="1"/>
        <v>30</v>
      </c>
      <c r="B32" s="87"/>
      <c r="C32" s="57" t="s">
        <v>148</v>
      </c>
      <c r="D32" s="58" t="s">
        <v>149</v>
      </c>
      <c r="E32" s="59" t="s">
        <v>140</v>
      </c>
      <c r="F32" s="60" t="s">
        <v>256</v>
      </c>
      <c r="G32" s="60" t="s">
        <v>150</v>
      </c>
      <c r="H32" s="59" t="s">
        <v>120</v>
      </c>
      <c r="I32" s="61">
        <v>3</v>
      </c>
      <c r="J32" s="61">
        <f t="shared" si="5"/>
        <v>150</v>
      </c>
      <c r="K32" s="62" t="s">
        <v>18</v>
      </c>
      <c r="L32" s="63">
        <v>0.1</v>
      </c>
      <c r="M32" s="63">
        <f t="shared" si="0"/>
        <v>15</v>
      </c>
      <c r="N32" s="72" t="s">
        <v>264</v>
      </c>
    </row>
    <row r="33" spans="1:14" ht="15.75" thickBot="1" x14ac:dyDescent="0.3">
      <c r="A33" s="11">
        <f t="shared" si="1"/>
        <v>31</v>
      </c>
      <c r="B33" s="87"/>
      <c r="C33" s="25" t="s">
        <v>151</v>
      </c>
      <c r="D33" s="26" t="s">
        <v>152</v>
      </c>
      <c r="E33" s="27" t="s">
        <v>153</v>
      </c>
      <c r="F33" s="44" t="s">
        <v>154</v>
      </c>
      <c r="G33" s="28" t="s">
        <v>155</v>
      </c>
      <c r="H33" s="27" t="s">
        <v>156</v>
      </c>
      <c r="I33" s="29">
        <v>3</v>
      </c>
      <c r="J33" s="29">
        <f t="shared" si="5"/>
        <v>150</v>
      </c>
      <c r="K33" s="48" t="s">
        <v>18</v>
      </c>
      <c r="L33" s="5">
        <v>1.24E-2</v>
      </c>
      <c r="M33" s="5">
        <f t="shared" si="0"/>
        <v>1.8599999999999999</v>
      </c>
      <c r="N33" s="13"/>
    </row>
    <row r="34" spans="1:14" ht="15.75" thickBot="1" x14ac:dyDescent="0.3">
      <c r="A34" s="11">
        <f t="shared" si="1"/>
        <v>32</v>
      </c>
      <c r="B34" s="87"/>
      <c r="C34" s="25" t="s">
        <v>157</v>
      </c>
      <c r="D34" s="26" t="s">
        <v>158</v>
      </c>
      <c r="E34" s="27" t="s">
        <v>140</v>
      </c>
      <c r="F34" s="44" t="s">
        <v>159</v>
      </c>
      <c r="G34" s="28" t="s">
        <v>155</v>
      </c>
      <c r="H34" s="27" t="s">
        <v>160</v>
      </c>
      <c r="I34" s="30">
        <v>1</v>
      </c>
      <c r="J34" s="29">
        <f t="shared" si="5"/>
        <v>50</v>
      </c>
      <c r="K34" s="48" t="s">
        <v>18</v>
      </c>
      <c r="L34" s="5">
        <v>2.1999999999999999E-2</v>
      </c>
      <c r="M34" s="5">
        <f t="shared" si="0"/>
        <v>1.0999999999999999</v>
      </c>
      <c r="N34" s="13"/>
    </row>
    <row r="35" spans="1:14" ht="15.75" thickBot="1" x14ac:dyDescent="0.3">
      <c r="A35" s="11">
        <f t="shared" si="1"/>
        <v>33</v>
      </c>
      <c r="B35" s="87"/>
      <c r="C35" s="25" t="s">
        <v>161</v>
      </c>
      <c r="D35" s="26" t="s">
        <v>162</v>
      </c>
      <c r="E35" s="27" t="s">
        <v>140</v>
      </c>
      <c r="F35" s="44" t="s">
        <v>163</v>
      </c>
      <c r="G35" s="28" t="s">
        <v>155</v>
      </c>
      <c r="H35" s="27" t="s">
        <v>164</v>
      </c>
      <c r="I35" s="29">
        <v>1</v>
      </c>
      <c r="J35" s="29">
        <f t="shared" si="5"/>
        <v>50</v>
      </c>
      <c r="K35" s="48" t="s">
        <v>18</v>
      </c>
      <c r="L35" s="5">
        <v>1.4999999999999999E-2</v>
      </c>
      <c r="M35" s="5">
        <f t="shared" si="0"/>
        <v>0.75</v>
      </c>
      <c r="N35" s="13"/>
    </row>
    <row r="36" spans="1:14" ht="15.75" thickBot="1" x14ac:dyDescent="0.3">
      <c r="A36" s="11">
        <f t="shared" si="1"/>
        <v>34</v>
      </c>
      <c r="B36" s="87"/>
      <c r="C36" s="25" t="s">
        <v>165</v>
      </c>
      <c r="D36" s="26" t="s">
        <v>166</v>
      </c>
      <c r="E36" s="27" t="s">
        <v>167</v>
      </c>
      <c r="F36" s="44" t="s">
        <v>168</v>
      </c>
      <c r="G36" s="28" t="s">
        <v>169</v>
      </c>
      <c r="H36" s="27" t="s">
        <v>164</v>
      </c>
      <c r="I36" s="30">
        <v>1</v>
      </c>
      <c r="J36" s="29">
        <f t="shared" si="5"/>
        <v>50</v>
      </c>
      <c r="K36" s="48" t="s">
        <v>18</v>
      </c>
      <c r="L36" s="5">
        <v>0.46899999999999997</v>
      </c>
      <c r="M36" s="5">
        <f t="shared" si="0"/>
        <v>23.45</v>
      </c>
      <c r="N36" s="13"/>
    </row>
    <row r="37" spans="1:14" ht="15.75" thickBot="1" x14ac:dyDescent="0.3">
      <c r="A37" s="11">
        <f t="shared" si="1"/>
        <v>35</v>
      </c>
      <c r="B37" s="87"/>
      <c r="C37" s="64" t="s">
        <v>269</v>
      </c>
      <c r="D37" s="65" t="s">
        <v>170</v>
      </c>
      <c r="E37" s="66" t="s">
        <v>267</v>
      </c>
      <c r="F37" s="66" t="s">
        <v>270</v>
      </c>
      <c r="G37" s="67" t="s">
        <v>155</v>
      </c>
      <c r="H37" s="66" t="s">
        <v>171</v>
      </c>
      <c r="I37" s="68">
        <v>1</v>
      </c>
      <c r="J37" s="68">
        <f t="shared" si="5"/>
        <v>50</v>
      </c>
      <c r="K37" s="19" t="s">
        <v>18</v>
      </c>
      <c r="L37" s="6">
        <v>2.1999999999999999E-2</v>
      </c>
      <c r="M37" s="6">
        <f t="shared" si="0"/>
        <v>1.0999999999999999</v>
      </c>
      <c r="N37" s="98" t="s">
        <v>265</v>
      </c>
    </row>
    <row r="38" spans="1:14" ht="15.75" thickBot="1" x14ac:dyDescent="0.3">
      <c r="A38" s="11">
        <f t="shared" si="1"/>
        <v>36</v>
      </c>
      <c r="B38" s="87"/>
      <c r="C38" s="64" t="s">
        <v>261</v>
      </c>
      <c r="D38" s="65" t="s">
        <v>172</v>
      </c>
      <c r="E38" s="66" t="s">
        <v>262</v>
      </c>
      <c r="F38" s="66" t="s">
        <v>263</v>
      </c>
      <c r="G38" s="67" t="s">
        <v>136</v>
      </c>
      <c r="H38" s="66" t="s">
        <v>173</v>
      </c>
      <c r="I38" s="68">
        <v>1</v>
      </c>
      <c r="J38" s="68">
        <f t="shared" si="5"/>
        <v>50</v>
      </c>
      <c r="K38" s="19" t="s">
        <v>18</v>
      </c>
      <c r="L38" s="6">
        <v>3.7999999999999999E-2</v>
      </c>
      <c r="M38" s="6">
        <f t="shared" si="0"/>
        <v>1.9</v>
      </c>
      <c r="N38" s="98" t="s">
        <v>265</v>
      </c>
    </row>
    <row r="39" spans="1:14" ht="15.75" thickBot="1" x14ac:dyDescent="0.3">
      <c r="A39" s="11">
        <f t="shared" si="1"/>
        <v>37</v>
      </c>
      <c r="B39" s="87"/>
      <c r="C39" s="64" t="s">
        <v>174</v>
      </c>
      <c r="D39" s="65" t="s">
        <v>175</v>
      </c>
      <c r="E39" s="66" t="s">
        <v>140</v>
      </c>
      <c r="F39" s="66" t="s">
        <v>176</v>
      </c>
      <c r="G39" s="67" t="s">
        <v>53</v>
      </c>
      <c r="H39" s="66" t="s">
        <v>177</v>
      </c>
      <c r="I39" s="68">
        <v>1</v>
      </c>
      <c r="J39" s="68">
        <f t="shared" si="5"/>
        <v>50</v>
      </c>
      <c r="K39" s="19" t="s">
        <v>18</v>
      </c>
      <c r="L39" s="6">
        <v>2.1999999999999999E-2</v>
      </c>
      <c r="M39" s="6">
        <f t="shared" si="0"/>
        <v>1.0999999999999999</v>
      </c>
      <c r="N39" s="98"/>
    </row>
    <row r="40" spans="1:14" ht="15.75" thickBot="1" x14ac:dyDescent="0.3">
      <c r="A40" s="11">
        <f t="shared" si="1"/>
        <v>38</v>
      </c>
      <c r="B40" s="87"/>
      <c r="C40" s="64" t="s">
        <v>178</v>
      </c>
      <c r="D40" s="65" t="s">
        <v>179</v>
      </c>
      <c r="E40" s="66" t="s">
        <v>140</v>
      </c>
      <c r="F40" s="66" t="s">
        <v>180</v>
      </c>
      <c r="G40" s="67" t="s">
        <v>155</v>
      </c>
      <c r="H40" s="66" t="s">
        <v>181</v>
      </c>
      <c r="I40" s="68">
        <v>1</v>
      </c>
      <c r="J40" s="68">
        <f t="shared" si="5"/>
        <v>50</v>
      </c>
      <c r="K40" s="19" t="s">
        <v>18</v>
      </c>
      <c r="L40" s="6">
        <v>2.1999999999999999E-2</v>
      </c>
      <c r="M40" s="6">
        <f t="shared" si="0"/>
        <v>1.0999999999999999</v>
      </c>
      <c r="N40" s="98"/>
    </row>
    <row r="41" spans="1:14" ht="15.75" thickBot="1" x14ac:dyDescent="0.3">
      <c r="A41" s="11">
        <f t="shared" si="1"/>
        <v>39</v>
      </c>
      <c r="B41" s="87"/>
      <c r="C41" s="64" t="s">
        <v>182</v>
      </c>
      <c r="D41" s="65" t="s">
        <v>183</v>
      </c>
      <c r="E41" s="66" t="s">
        <v>140</v>
      </c>
      <c r="F41" s="66" t="s">
        <v>184</v>
      </c>
      <c r="G41" s="67" t="s">
        <v>53</v>
      </c>
      <c r="H41" s="66" t="s">
        <v>185</v>
      </c>
      <c r="I41" s="68">
        <v>1</v>
      </c>
      <c r="J41" s="68">
        <f t="shared" si="5"/>
        <v>50</v>
      </c>
      <c r="K41" s="19" t="s">
        <v>18</v>
      </c>
      <c r="L41" s="6">
        <v>2.1999999999999999E-2</v>
      </c>
      <c r="M41" s="6">
        <f t="shared" si="0"/>
        <v>1.0999999999999999</v>
      </c>
      <c r="N41" s="98"/>
    </row>
    <row r="42" spans="1:14" ht="15.75" thickBot="1" x14ac:dyDescent="0.3">
      <c r="A42" s="11">
        <f t="shared" si="1"/>
        <v>40</v>
      </c>
      <c r="B42" s="88"/>
      <c r="C42" s="99" t="s">
        <v>266</v>
      </c>
      <c r="D42" s="100" t="s">
        <v>186</v>
      </c>
      <c r="E42" s="101" t="s">
        <v>267</v>
      </c>
      <c r="F42" s="101" t="s">
        <v>268</v>
      </c>
      <c r="G42" s="102" t="s">
        <v>53</v>
      </c>
      <c r="H42" s="101" t="s">
        <v>187</v>
      </c>
      <c r="I42" s="103">
        <v>1</v>
      </c>
      <c r="J42" s="68">
        <f t="shared" si="5"/>
        <v>50</v>
      </c>
      <c r="K42" s="19" t="s">
        <v>18</v>
      </c>
      <c r="L42" s="6">
        <v>2.1999999999999999E-2</v>
      </c>
      <c r="M42" s="104">
        <f t="shared" si="0"/>
        <v>1.0999999999999999</v>
      </c>
      <c r="N42" s="98" t="s">
        <v>265</v>
      </c>
    </row>
    <row r="43" spans="1:14" ht="15.75" thickBot="1" x14ac:dyDescent="0.3">
      <c r="A43" s="11">
        <f t="shared" si="1"/>
        <v>41</v>
      </c>
      <c r="B43" s="15" t="s">
        <v>188</v>
      </c>
      <c r="C43" s="37" t="s">
        <v>189</v>
      </c>
      <c r="D43" s="38" t="s">
        <v>190</v>
      </c>
      <c r="E43" s="39" t="s">
        <v>191</v>
      </c>
      <c r="F43" s="53" t="s">
        <v>191</v>
      </c>
      <c r="G43" s="40" t="s">
        <v>192</v>
      </c>
      <c r="H43" s="39" t="s">
        <v>188</v>
      </c>
      <c r="I43" s="41">
        <v>1</v>
      </c>
      <c r="J43" s="42">
        <f>I43*50</f>
        <v>50</v>
      </c>
      <c r="K43" s="17" t="s">
        <v>18</v>
      </c>
      <c r="L43" s="3">
        <v>0.56200000000000006</v>
      </c>
      <c r="M43" s="3">
        <f t="shared" si="0"/>
        <v>28.1</v>
      </c>
      <c r="N43" s="16"/>
    </row>
    <row r="44" spans="1:14" ht="15.75" thickBot="1" x14ac:dyDescent="0.3">
      <c r="A44" s="11">
        <f t="shared" si="1"/>
        <v>42</v>
      </c>
      <c r="B44" s="15" t="s">
        <v>193</v>
      </c>
      <c r="C44" s="37" t="s">
        <v>194</v>
      </c>
      <c r="D44" s="38" t="s">
        <v>195</v>
      </c>
      <c r="E44" s="39" t="s">
        <v>196</v>
      </c>
      <c r="F44" s="53" t="s">
        <v>196</v>
      </c>
      <c r="G44" s="40" t="s">
        <v>197</v>
      </c>
      <c r="H44" s="39" t="s">
        <v>196</v>
      </c>
      <c r="I44" s="42">
        <v>1</v>
      </c>
      <c r="J44" s="42">
        <f>I44*50</f>
        <v>50</v>
      </c>
      <c r="K44" s="17" t="s">
        <v>18</v>
      </c>
      <c r="L44" s="4">
        <v>5.7489999999999997</v>
      </c>
      <c r="M44" s="3">
        <f t="shared" si="0"/>
        <v>287.45</v>
      </c>
      <c r="N44" s="16"/>
    </row>
    <row r="45" spans="1:14" ht="15.75" customHeight="1" thickBot="1" x14ac:dyDescent="0.3">
      <c r="A45" s="11">
        <f t="shared" si="1"/>
        <v>43</v>
      </c>
      <c r="B45" s="92" t="s">
        <v>198</v>
      </c>
      <c r="C45" s="20" t="s">
        <v>199</v>
      </c>
      <c r="D45" s="21" t="s">
        <v>200</v>
      </c>
      <c r="E45" s="22" t="s">
        <v>201</v>
      </c>
      <c r="F45" s="45" t="s">
        <v>201</v>
      </c>
      <c r="G45" s="23" t="s">
        <v>202</v>
      </c>
      <c r="H45" s="22" t="s">
        <v>201</v>
      </c>
      <c r="I45" s="24">
        <v>1</v>
      </c>
      <c r="J45" s="36">
        <f>I45*50</f>
        <v>50</v>
      </c>
      <c r="K45" s="18" t="s">
        <v>18</v>
      </c>
      <c r="L45" s="5">
        <v>0.70379999999999998</v>
      </c>
      <c r="M45" s="47">
        <f t="shared" si="0"/>
        <v>35.19</v>
      </c>
      <c r="N45" s="12"/>
    </row>
    <row r="46" spans="1:14" ht="15.75" thickBot="1" x14ac:dyDescent="0.3">
      <c r="A46" s="11">
        <f t="shared" si="1"/>
        <v>44</v>
      </c>
      <c r="B46" s="93"/>
      <c r="C46" s="25" t="s">
        <v>203</v>
      </c>
      <c r="D46" s="26" t="s">
        <v>204</v>
      </c>
      <c r="E46" s="27" t="s">
        <v>205</v>
      </c>
      <c r="F46" s="44" t="s">
        <v>206</v>
      </c>
      <c r="G46" s="28" t="s">
        <v>207</v>
      </c>
      <c r="H46" s="27" t="s">
        <v>206</v>
      </c>
      <c r="I46" s="29">
        <v>2</v>
      </c>
      <c r="J46" s="29">
        <f>I46*50</f>
        <v>100</v>
      </c>
      <c r="K46" s="19" t="s">
        <v>18</v>
      </c>
      <c r="L46" s="5">
        <v>1.048</v>
      </c>
      <c r="M46" s="5">
        <f t="shared" si="0"/>
        <v>104.80000000000001</v>
      </c>
      <c r="N46" s="13"/>
    </row>
    <row r="47" spans="1:14" ht="15.75" thickBot="1" x14ac:dyDescent="0.3">
      <c r="A47" s="11">
        <f t="shared" si="1"/>
        <v>45</v>
      </c>
      <c r="B47" s="93"/>
      <c r="C47" s="25" t="s">
        <v>208</v>
      </c>
      <c r="D47" s="26" t="s">
        <v>209</v>
      </c>
      <c r="E47" s="27" t="s">
        <v>210</v>
      </c>
      <c r="F47" s="44" t="s">
        <v>211</v>
      </c>
      <c r="G47" s="28" t="s">
        <v>212</v>
      </c>
      <c r="H47" s="27" t="s">
        <v>211</v>
      </c>
      <c r="I47" s="30">
        <v>1</v>
      </c>
      <c r="J47" s="29">
        <f t="shared" ref="J47:J52" si="6">I47*50</f>
        <v>50</v>
      </c>
      <c r="K47" s="19" t="s">
        <v>18</v>
      </c>
      <c r="L47" s="5">
        <v>2.3852000000000002</v>
      </c>
      <c r="M47" s="5">
        <f t="shared" si="0"/>
        <v>119.26</v>
      </c>
      <c r="N47" s="13"/>
    </row>
    <row r="48" spans="1:14" ht="15.75" thickBot="1" x14ac:dyDescent="0.3">
      <c r="A48" s="11">
        <f t="shared" si="1"/>
        <v>46</v>
      </c>
      <c r="B48" s="93"/>
      <c r="C48" s="25" t="s">
        <v>213</v>
      </c>
      <c r="D48" s="26" t="s">
        <v>214</v>
      </c>
      <c r="E48" s="27" t="s">
        <v>215</v>
      </c>
      <c r="F48" s="44" t="s">
        <v>215</v>
      </c>
      <c r="G48" s="28" t="s">
        <v>216</v>
      </c>
      <c r="H48" s="27" t="s">
        <v>215</v>
      </c>
      <c r="I48" s="29">
        <v>1</v>
      </c>
      <c r="J48" s="29">
        <f t="shared" si="6"/>
        <v>50</v>
      </c>
      <c r="K48" s="19" t="s">
        <v>18</v>
      </c>
      <c r="L48" s="5">
        <v>4.5</v>
      </c>
      <c r="M48" s="5">
        <f t="shared" si="0"/>
        <v>225</v>
      </c>
      <c r="N48" s="13"/>
    </row>
    <row r="49" spans="1:14" ht="15.75" thickBot="1" x14ac:dyDescent="0.3">
      <c r="A49" s="11">
        <f t="shared" si="1"/>
        <v>47</v>
      </c>
      <c r="B49" s="93"/>
      <c r="C49" s="25" t="s">
        <v>217</v>
      </c>
      <c r="D49" s="26" t="s">
        <v>218</v>
      </c>
      <c r="E49" s="27" t="s">
        <v>219</v>
      </c>
      <c r="F49" s="44" t="s">
        <v>219</v>
      </c>
      <c r="G49" s="28" t="s">
        <v>106</v>
      </c>
      <c r="H49" s="27" t="s">
        <v>219</v>
      </c>
      <c r="I49" s="30">
        <v>1</v>
      </c>
      <c r="J49" s="29">
        <f t="shared" si="6"/>
        <v>50</v>
      </c>
      <c r="K49" s="19" t="s">
        <v>18</v>
      </c>
      <c r="L49" s="5">
        <v>0.34599999999999997</v>
      </c>
      <c r="M49" s="5">
        <f t="shared" si="0"/>
        <v>17.299999999999997</v>
      </c>
      <c r="N49" s="13"/>
    </row>
    <row r="50" spans="1:14" ht="15.75" thickBot="1" x14ac:dyDescent="0.3">
      <c r="A50" s="11">
        <f t="shared" si="1"/>
        <v>48</v>
      </c>
      <c r="B50" s="93"/>
      <c r="C50" s="25" t="s">
        <v>220</v>
      </c>
      <c r="D50" s="26" t="s">
        <v>221</v>
      </c>
      <c r="E50" s="27" t="s">
        <v>222</v>
      </c>
      <c r="F50" s="44" t="s">
        <v>223</v>
      </c>
      <c r="G50" s="28" t="s">
        <v>207</v>
      </c>
      <c r="H50" s="27" t="s">
        <v>223</v>
      </c>
      <c r="I50" s="29">
        <v>1</v>
      </c>
      <c r="J50" s="29">
        <f t="shared" si="6"/>
        <v>50</v>
      </c>
      <c r="K50" s="19" t="s">
        <v>18</v>
      </c>
      <c r="L50" s="5">
        <v>1.008</v>
      </c>
      <c r="M50" s="5">
        <f t="shared" si="0"/>
        <v>50.4</v>
      </c>
      <c r="N50" s="13"/>
    </row>
    <row r="51" spans="1:14" ht="15.75" thickBot="1" x14ac:dyDescent="0.3">
      <c r="A51" s="11">
        <f t="shared" si="1"/>
        <v>49</v>
      </c>
      <c r="B51" s="93"/>
      <c r="C51" s="25" t="s">
        <v>224</v>
      </c>
      <c r="D51" s="26" t="s">
        <v>225</v>
      </c>
      <c r="E51" s="44" t="s">
        <v>226</v>
      </c>
      <c r="F51" s="44" t="s">
        <v>226</v>
      </c>
      <c r="G51" s="28" t="s">
        <v>227</v>
      </c>
      <c r="H51" s="27" t="s">
        <v>226</v>
      </c>
      <c r="I51" s="30">
        <v>1</v>
      </c>
      <c r="J51" s="29">
        <f t="shared" si="6"/>
        <v>50</v>
      </c>
      <c r="K51" s="48" t="s">
        <v>18</v>
      </c>
      <c r="L51" s="5">
        <v>3.2435999999999998</v>
      </c>
      <c r="M51" s="5">
        <f t="shared" si="0"/>
        <v>162.17999999999998</v>
      </c>
      <c r="N51" s="13"/>
    </row>
    <row r="52" spans="1:14" ht="15.75" thickBot="1" x14ac:dyDescent="0.3">
      <c r="A52" s="11">
        <f t="shared" si="1"/>
        <v>50</v>
      </c>
      <c r="B52" s="94"/>
      <c r="C52" s="31" t="s">
        <v>228</v>
      </c>
      <c r="D52" s="32" t="s">
        <v>229</v>
      </c>
      <c r="E52" s="33" t="s">
        <v>222</v>
      </c>
      <c r="F52" s="49" t="s">
        <v>230</v>
      </c>
      <c r="G52" s="34" t="s">
        <v>207</v>
      </c>
      <c r="H52" s="33" t="s">
        <v>230</v>
      </c>
      <c r="I52" s="43">
        <v>1</v>
      </c>
      <c r="J52" s="29">
        <f t="shared" si="6"/>
        <v>50</v>
      </c>
      <c r="K52" s="50" t="s">
        <v>18</v>
      </c>
      <c r="L52" s="51">
        <v>0.98</v>
      </c>
      <c r="M52" s="51">
        <f t="shared" si="0"/>
        <v>49</v>
      </c>
      <c r="N52" s="14"/>
    </row>
    <row r="53" spans="1:14" ht="15.75" customHeight="1" thickBot="1" x14ac:dyDescent="0.3">
      <c r="A53" s="11">
        <f t="shared" si="1"/>
        <v>51</v>
      </c>
      <c r="B53" s="92" t="s">
        <v>231</v>
      </c>
      <c r="C53" s="20" t="s">
        <v>232</v>
      </c>
      <c r="D53" s="21" t="s">
        <v>233</v>
      </c>
      <c r="E53" s="22" t="s">
        <v>234</v>
      </c>
      <c r="F53" s="45" t="s">
        <v>234</v>
      </c>
      <c r="G53" s="23" t="s">
        <v>235</v>
      </c>
      <c r="H53" s="22" t="s">
        <v>234</v>
      </c>
      <c r="I53" s="24">
        <v>1</v>
      </c>
      <c r="J53" s="36">
        <v>3</v>
      </c>
      <c r="K53" s="46" t="s">
        <v>18</v>
      </c>
      <c r="L53" s="70">
        <v>42.44</v>
      </c>
      <c r="M53" s="47">
        <f t="shared" si="0"/>
        <v>127.32</v>
      </c>
      <c r="N53" s="12"/>
    </row>
    <row r="54" spans="1:14" ht="15.75" thickBot="1" x14ac:dyDescent="0.3">
      <c r="A54" s="11">
        <f t="shared" si="1"/>
        <v>52</v>
      </c>
      <c r="B54" s="93"/>
      <c r="C54" s="25" t="s">
        <v>236</v>
      </c>
      <c r="D54" s="26" t="s">
        <v>237</v>
      </c>
      <c r="E54" s="27" t="s">
        <v>238</v>
      </c>
      <c r="F54" s="44" t="s">
        <v>238</v>
      </c>
      <c r="G54" s="28" t="s">
        <v>239</v>
      </c>
      <c r="H54" s="27" t="s">
        <v>238</v>
      </c>
      <c r="I54" s="29">
        <v>1</v>
      </c>
      <c r="J54" s="29">
        <f>I54*50</f>
        <v>50</v>
      </c>
      <c r="K54" s="19" t="s">
        <v>18</v>
      </c>
      <c r="L54" s="5">
        <v>8.3799999999999999E-2</v>
      </c>
      <c r="M54" s="5">
        <f t="shared" si="0"/>
        <v>4.1900000000000004</v>
      </c>
      <c r="N54" s="13"/>
    </row>
    <row r="55" spans="1:14" ht="15.75" thickBot="1" x14ac:dyDescent="0.3">
      <c r="A55" s="11">
        <f t="shared" si="1"/>
        <v>53</v>
      </c>
      <c r="B55" s="93"/>
      <c r="C55" s="25" t="s">
        <v>240</v>
      </c>
      <c r="D55" s="26" t="s">
        <v>241</v>
      </c>
      <c r="E55" s="27" t="s">
        <v>242</v>
      </c>
      <c r="F55" s="44" t="s">
        <v>243</v>
      </c>
      <c r="G55" s="28" t="s">
        <v>244</v>
      </c>
      <c r="H55" s="27" t="s">
        <v>243</v>
      </c>
      <c r="I55" s="30">
        <v>2</v>
      </c>
      <c r="J55" s="29">
        <f>I55*50</f>
        <v>100</v>
      </c>
      <c r="K55" s="19" t="s">
        <v>18</v>
      </c>
      <c r="L55" s="5">
        <v>0.48620000000000002</v>
      </c>
      <c r="M55" s="5">
        <f t="shared" si="0"/>
        <v>48.620000000000005</v>
      </c>
      <c r="N55" s="13"/>
    </row>
    <row r="56" spans="1:14" ht="15.75" thickBot="1" x14ac:dyDescent="0.3">
      <c r="A56" s="11">
        <f t="shared" si="1"/>
        <v>54</v>
      </c>
      <c r="B56" s="93"/>
      <c r="C56" s="57" t="s">
        <v>245</v>
      </c>
      <c r="D56" s="58" t="s">
        <v>246</v>
      </c>
      <c r="E56" s="59" t="s">
        <v>247</v>
      </c>
      <c r="F56" s="59" t="s">
        <v>247</v>
      </c>
      <c r="G56" s="60" t="s">
        <v>248</v>
      </c>
      <c r="H56" s="59" t="s">
        <v>247</v>
      </c>
      <c r="I56" s="61">
        <v>10</v>
      </c>
      <c r="J56" s="61">
        <f t="shared" ref="J56:J57" si="7">I56*5</f>
        <v>50</v>
      </c>
      <c r="K56" s="61"/>
      <c r="L56" s="63"/>
      <c r="M56" s="63">
        <f t="shared" si="0"/>
        <v>0</v>
      </c>
      <c r="N56" s="79" t="s">
        <v>271</v>
      </c>
    </row>
    <row r="57" spans="1:14" ht="15.75" thickBot="1" x14ac:dyDescent="0.3">
      <c r="A57" s="11">
        <f t="shared" si="1"/>
        <v>55</v>
      </c>
      <c r="B57" s="94"/>
      <c r="C57" s="73" t="s">
        <v>249</v>
      </c>
      <c r="D57" s="74" t="s">
        <v>250</v>
      </c>
      <c r="E57" s="75" t="s">
        <v>251</v>
      </c>
      <c r="F57" s="75" t="s">
        <v>251</v>
      </c>
      <c r="G57" s="76" t="s">
        <v>248</v>
      </c>
      <c r="H57" s="75" t="s">
        <v>251</v>
      </c>
      <c r="I57" s="77">
        <v>2</v>
      </c>
      <c r="J57" s="77">
        <f t="shared" si="7"/>
        <v>10</v>
      </c>
      <c r="K57" s="77"/>
      <c r="L57" s="78"/>
      <c r="M57" s="78">
        <f t="shared" si="0"/>
        <v>0</v>
      </c>
      <c r="N57" s="79" t="s">
        <v>271</v>
      </c>
    </row>
    <row r="58" spans="1:14" ht="15.75" thickBot="1" x14ac:dyDescent="0.3">
      <c r="B58" s="8"/>
      <c r="C58" s="8"/>
      <c r="D58" s="8"/>
      <c r="E58" s="8"/>
      <c r="F58" s="8"/>
      <c r="G58" s="8"/>
      <c r="H58" s="8"/>
      <c r="I58" s="89" t="s">
        <v>259</v>
      </c>
      <c r="J58" s="90"/>
      <c r="K58" s="90"/>
      <c r="L58" s="91"/>
      <c r="M58" s="56">
        <f>SUM(M3:M57)</f>
        <v>1954.2450000000003</v>
      </c>
      <c r="N58" s="8"/>
    </row>
    <row r="59" spans="1:14" ht="19.5" thickBot="1" x14ac:dyDescent="0.35">
      <c r="C59" s="55" t="s">
        <v>257</v>
      </c>
      <c r="E59" s="7"/>
    </row>
    <row r="60" spans="1:14" x14ac:dyDescent="0.25">
      <c r="C60" s="95" t="s">
        <v>272</v>
      </c>
      <c r="D60" s="96"/>
      <c r="E60" s="97"/>
    </row>
    <row r="61" spans="1:14" ht="15.75" thickBot="1" x14ac:dyDescent="0.3">
      <c r="C61" s="83" t="s">
        <v>258</v>
      </c>
      <c r="D61" s="84"/>
      <c r="E61" s="85"/>
    </row>
  </sheetData>
  <mergeCells count="10">
    <mergeCell ref="A1:N1"/>
    <mergeCell ref="C61:E61"/>
    <mergeCell ref="B3:B11"/>
    <mergeCell ref="B12:B17"/>
    <mergeCell ref="B20:B23"/>
    <mergeCell ref="B24:B42"/>
    <mergeCell ref="I58:L58"/>
    <mergeCell ref="B45:B52"/>
    <mergeCell ref="B53:B57"/>
    <mergeCell ref="C60:E60"/>
  </mergeCells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  <hyperlink ref="K46" r:id="rId43"/>
    <hyperlink ref="K47" r:id="rId44"/>
    <hyperlink ref="K48" r:id="rId45"/>
    <hyperlink ref="K49" r:id="rId46"/>
    <hyperlink ref="K50" r:id="rId47"/>
    <hyperlink ref="K45" r:id="rId48"/>
    <hyperlink ref="K54" r:id="rId49"/>
    <hyperlink ref="K55" r:id="rId50"/>
    <hyperlink ref="K51" r:id="rId51"/>
    <hyperlink ref="K52" r:id="rId52"/>
    <hyperlink ref="K53" r:id="rId53"/>
  </hyperlinks>
  <pageMargins left="0.7" right="0.7" top="0.75" bottom="0.75" header="0.3" footer="0.3"/>
  <pageSetup orientation="portrait" horizontalDpi="300" verticalDpi="300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2020-10-13T11:47:55Z</dcterms:created>
  <dcterms:modified xsi:type="dcterms:W3CDTF">2020-10-13T21:04:40Z</dcterms:modified>
</cp:coreProperties>
</file>